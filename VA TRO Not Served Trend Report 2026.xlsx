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jjudiciary-my.sharepoint.com/personal/keisha_bolaji_njcourts_gov/Documents/Desktop/Projects/August 2025/DV/TROs Not Served Biannual Report/YoY 2026/"/>
    </mc:Choice>
  </mc:AlternateContent>
  <xr:revisionPtr revIDLastSave="20" documentId="8_{13152729-E0DA-4C0A-A8CA-83D1AE61FAF6}" xr6:coauthVersionLast="47" xr6:coauthVersionMax="47" xr10:uidLastSave="{B5610203-9BC2-43DC-8DC4-88B043BDDD19}"/>
  <bookViews>
    <workbookView xWindow="28680" yWindow="-120" windowWidth="29040" windowHeight="15720" xr2:uid="{3913F8AD-F148-4F36-8AC5-D66C76719A42}"/>
  </bookViews>
  <sheets>
    <sheet name="Table 1" sheetId="5" r:id="rId1"/>
    <sheet name="VB_2026" sheetId="4" r:id="rId2"/>
    <sheet name="January 2026 Run Date" sheetId="3" r:id="rId3"/>
  </sheets>
  <externalReferences>
    <externalReference r:id="rId4"/>
  </externalReferences>
  <definedNames>
    <definedName name="ExternalData_1" localSheetId="1" hidden="1">'VB_2026'!$A$1:$C$110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9" i="5" l="1" a="1"/>
  <c r="K69" i="5" s="1"/>
  <c r="J69" i="5" a="1"/>
  <c r="J69" i="5" s="1"/>
  <c r="H69" i="5" a="1"/>
  <c r="H69" i="5" s="1"/>
  <c r="G69" i="5" a="1"/>
  <c r="G69" i="5" s="1"/>
  <c r="E69" i="5" a="1"/>
  <c r="E69" i="5" s="1"/>
  <c r="D69" i="5" a="1"/>
  <c r="D69" i="5" s="1"/>
  <c r="C69" i="5" a="1"/>
  <c r="C69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92F21D-D0EA-467E-B7CD-1A7D3ED7B822}" keepAlive="1" name="Query - VB_2026" description="Connection to the 'VB_2026' query in the workbook." type="5" refreshedVersion="8" background="1" saveData="1">
    <dbPr connection="Provider=Microsoft.Mashup.OleDb.1;Data Source=$Workbook$;Location=VB_2026;Extended Properties=&quot;&quot;" command="SELECT * FROM [VB_2026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<sst xmlns="http://schemas.openxmlformats.org/spreadsheetml/2006/main" count="334" uniqueCount="41">
  <si>
    <t>County</t>
  </si>
  <si>
    <t>YearGroup</t>
  </si>
  <si>
    <t>TotalCount</t>
  </si>
  <si>
    <t>Atlantic</t>
  </si>
  <si>
    <t>2026</t>
  </si>
  <si>
    <t>2025</t>
  </si>
  <si>
    <t>2024</t>
  </si>
  <si>
    <t>2023</t>
  </si>
  <si>
    <t>2019</t>
  </si>
  <si>
    <t>Bergen</t>
  </si>
  <si>
    <t>2021</t>
  </si>
  <si>
    <t>2020</t>
  </si>
  <si>
    <t>Burlington</t>
  </si>
  <si>
    <t>2022</t>
  </si>
  <si>
    <t>Camden</t>
  </si>
  <si>
    <t>2018</t>
  </si>
  <si>
    <t>2017 &amp; Older</t>
  </si>
  <si>
    <t>Cape May</t>
  </si>
  <si>
    <t>Cumberland</t>
  </si>
  <si>
    <t>Essex</t>
  </si>
  <si>
    <t>Gloucester</t>
  </si>
  <si>
    <t>Hunterdon</t>
  </si>
  <si>
    <t>Hudson</t>
  </si>
  <si>
    <t>Mercer</t>
  </si>
  <si>
    <t>Middlesex</t>
  </si>
  <si>
    <t>Monmouth</t>
  </si>
  <si>
    <t>Morris</t>
  </si>
  <si>
    <t>Ocean</t>
  </si>
  <si>
    <t>Passaic</t>
  </si>
  <si>
    <t>Salem</t>
  </si>
  <si>
    <t>Somerset</t>
  </si>
  <si>
    <t>Sussex</t>
  </si>
  <si>
    <t>Union</t>
  </si>
  <si>
    <t>Warren</t>
  </si>
  <si>
    <r>
      <rPr>
        <sz val="18.5"/>
        <rFont val="Aptos Narrow"/>
        <family val="2"/>
        <scheme val="minor"/>
      </rPr>
      <t xml:space="preserve">Number of TROs Issued But Not Served By County Over The Years
</t>
    </r>
    <r>
      <rPr>
        <sz val="7"/>
        <rFont val="Aptos Narrow"/>
        <family val="2"/>
        <scheme val="minor"/>
      </rPr>
      <t>Count of TRO is based on TRO issued date from five data extractions on 01/11/2022, 01/10/2023, 01/09/2024, 1/14/2025, and 7/8/2025</t>
    </r>
  </si>
  <si>
    <t>January 11, 2022</t>
  </si>
  <si>
    <t>January 10, 2023</t>
  </si>
  <si>
    <t>January 09, 2024</t>
  </si>
  <si>
    <t>January 14, 2025</t>
  </si>
  <si>
    <t>State</t>
  </si>
  <si>
    <t>The counts of Temporary Restraining Orders were extracted on five dates, 1/11/2022, 1/10/2023, 1/9/2024,  1/14/2025, and 7/8/2025 to examine the count of temporary restraining orders which remained unserved, via the service table, as of the relevant extraction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</si>
</sst>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mmmm\ d\,\ yyyy;@"/>
    <numFmt numFmtId="165" formatCode="m/dd/yyyy;@"/>
    <numFmt numFmtId="166" formatCode="_(* #,##0_);_(* \(#,##0\);_(* &quot;-&quot;??_);_(@_)"/>
  </numFmts>
  <fonts count="10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10"/>
      <name val="Aptos Narrow"/>
      <family val="2"/>
      <scheme val="minor"/>
    </font>
    <font>
      <sz val="18.5"/>
      <name val="Aptos Narrow"/>
      <family val="2"/>
      <scheme val="minor"/>
    </font>
    <font>
      <sz val="7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name val="Aptos Narrow"/>
      <family val="2"/>
      <scheme val="minor"/>
    </font>
    <font>
      <sz val="9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NumberForma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wrapText="1"/>
    </xf>
    <xf numFmtId="164" fontId="2" fillId="0" borderId="0" xfId="0" applyNumberFormat="1" applyFont="1" applyAlignment="1">
      <alignment horizontal="left" wrapText="1"/>
    </xf>
    <xf numFmtId="165" fontId="3" fillId="0" borderId="0" xfId="0" applyNumberFormat="1" applyFont="1" applyAlignment="1">
      <alignment horizontal="right" vertical="top" shrinkToFit="1"/>
    </xf>
    <xf numFmtId="0" fontId="4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top" wrapText="1"/>
    </xf>
    <xf numFmtId="1" fontId="7" fillId="0" borderId="3" xfId="0" applyNumberFormat="1" applyFont="1" applyBorder="1" applyAlignment="1">
      <alignment vertical="top" shrinkToFit="1"/>
    </xf>
    <xf numFmtId="1" fontId="7" fillId="0" borderId="4" xfId="0" applyNumberFormat="1" applyFont="1" applyBorder="1" applyAlignment="1">
      <alignment vertical="top" shrinkToFit="1"/>
    </xf>
    <xf numFmtId="1" fontId="7" fillId="0" borderId="1" xfId="0" applyNumberFormat="1" applyFont="1" applyBorder="1" applyAlignment="1">
      <alignment vertical="top" shrinkToFit="1"/>
    </xf>
    <xf numFmtId="1" fontId="7" fillId="0" borderId="5" xfId="0" applyNumberFormat="1" applyFont="1" applyBorder="1" applyAlignment="1">
      <alignment vertical="top" shrinkToFit="1"/>
    </xf>
    <xf numFmtId="0" fontId="8" fillId="0" borderId="3" xfId="0" applyFont="1" applyBorder="1" applyAlignment="1">
      <alignment horizontal="right" vertical="top" wrapText="1"/>
    </xf>
    <xf numFmtId="0" fontId="2" fillId="0" borderId="0" xfId="0" applyFont="1" applyAlignment="1">
      <alignment vertical="top"/>
    </xf>
    <xf numFmtId="166" fontId="2" fillId="0" borderId="0" xfId="0" applyNumberFormat="1" applyFont="1" applyAlignment="1">
      <alignment vertical="top"/>
    </xf>
    <xf numFmtId="0" fontId="8" fillId="0" borderId="6" xfId="0" applyFont="1" applyBorder="1" applyAlignment="1">
      <alignment horizontal="left" vertical="top" wrapText="1"/>
    </xf>
    <xf numFmtId="164" fontId="4" fillId="0" borderId="7" xfId="0" applyNumberFormat="1" applyFont="1" applyBorder="1" applyAlignment="1">
      <alignment horizontal="left" vertical="top" wrapText="1"/>
    </xf>
    <xf numFmtId="166" fontId="2" fillId="2" borderId="7" xfId="1" applyNumberFormat="1" applyFont="1" applyFill="1" applyBorder="1" applyAlignment="1">
      <alignment horizontal="left" wrapText="1"/>
    </xf>
    <xf numFmtId="166" fontId="2" fillId="2" borderId="3" xfId="1" applyNumberFormat="1" applyFont="1" applyFill="1" applyBorder="1" applyAlignment="1">
      <alignment horizontal="left" vertical="center" wrapText="1"/>
    </xf>
    <xf numFmtId="166" fontId="2" fillId="2" borderId="0" xfId="1" applyNumberFormat="1" applyFont="1" applyFill="1" applyAlignment="1">
      <alignment horizontal="left" vertical="top"/>
    </xf>
    <xf numFmtId="166" fontId="2" fillId="2" borderId="4" xfId="1" applyNumberFormat="1" applyFont="1" applyFill="1" applyBorder="1" applyAlignment="1">
      <alignment horizontal="left" vertical="center" wrapText="1"/>
    </xf>
    <xf numFmtId="166" fontId="2" fillId="0" borderId="1" xfId="1" applyNumberFormat="1" applyFont="1" applyBorder="1" applyAlignment="1">
      <alignment horizontal="right" vertical="top" shrinkToFit="1"/>
    </xf>
    <xf numFmtId="166" fontId="2" fillId="0" borderId="5" xfId="1" applyNumberFormat="1" applyFont="1" applyBorder="1" applyAlignment="1">
      <alignment horizontal="right" vertical="top" shrinkToFit="1"/>
    </xf>
    <xf numFmtId="166" fontId="2" fillId="0" borderId="3" xfId="1" applyNumberFormat="1" applyFont="1" applyBorder="1" applyAlignment="1">
      <alignment horizontal="right" vertical="top" shrinkToFit="1"/>
    </xf>
    <xf numFmtId="166" fontId="2" fillId="0" borderId="0" xfId="0" applyNumberFormat="1" applyFont="1" applyAlignment="1">
      <alignment horizontal="left" vertical="top"/>
    </xf>
    <xf numFmtId="164" fontId="4" fillId="0" borderId="3" xfId="0" applyNumberFormat="1" applyFont="1" applyBorder="1" applyAlignment="1">
      <alignment horizontal="left" vertical="top" wrapText="1"/>
    </xf>
    <xf numFmtId="166" fontId="2" fillId="2" borderId="3" xfId="1" applyNumberFormat="1" applyFont="1" applyFill="1" applyBorder="1" applyAlignment="1">
      <alignment horizontal="left" wrapText="1"/>
    </xf>
    <xf numFmtId="166" fontId="2" fillId="0" borderId="4" xfId="1" applyNumberFormat="1" applyFont="1" applyBorder="1" applyAlignment="1">
      <alignment horizontal="right" vertical="top" shrinkToFit="1"/>
    </xf>
    <xf numFmtId="166" fontId="2" fillId="0" borderId="8" xfId="1" applyNumberFormat="1" applyFont="1" applyBorder="1" applyAlignment="1">
      <alignment horizontal="right" vertical="top" shrinkToFit="1"/>
    </xf>
    <xf numFmtId="166" fontId="2" fillId="0" borderId="9" xfId="1" applyNumberFormat="1" applyFont="1" applyBorder="1" applyAlignment="1">
      <alignment horizontal="right" vertical="top" shrinkToFit="1"/>
    </xf>
    <xf numFmtId="166" fontId="2" fillId="0" borderId="10" xfId="1" applyNumberFormat="1" applyFont="1" applyBorder="1" applyAlignment="1">
      <alignment horizontal="right" vertical="top" shrinkToFit="1"/>
    </xf>
    <xf numFmtId="0" fontId="8" fillId="0" borderId="7" xfId="0" applyFont="1" applyBorder="1" applyAlignment="1">
      <alignment horizontal="left" vertical="top" wrapText="1"/>
    </xf>
    <xf numFmtId="164" fontId="2" fillId="0" borderId="0" xfId="0" applyNumberFormat="1" applyFont="1" applyAlignment="1">
      <alignment horizontal="left" vertical="top"/>
    </xf>
    <xf numFmtId="166" fontId="4" fillId="0" borderId="4" xfId="1" applyNumberFormat="1" applyFont="1" applyBorder="1" applyAlignment="1">
      <alignment horizontal="right" vertical="top" wrapText="1"/>
    </xf>
    <xf numFmtId="166" fontId="2" fillId="0" borderId="1" xfId="1" applyNumberFormat="1" applyFont="1" applyBorder="1" applyAlignment="1">
      <alignment horizontal="right" vertical="top"/>
    </xf>
    <xf numFmtId="166" fontId="2" fillId="0" borderId="11" xfId="1" applyNumberFormat="1" applyFont="1" applyBorder="1" applyAlignment="1">
      <alignment horizontal="right" vertical="top"/>
    </xf>
    <xf numFmtId="166" fontId="7" fillId="0" borderId="1" xfId="1" applyNumberFormat="1" applyFont="1" applyBorder="1" applyAlignment="1">
      <alignment horizontal="right" vertical="top"/>
    </xf>
    <xf numFmtId="166" fontId="2" fillId="0" borderId="12" xfId="1" applyNumberFormat="1" applyFont="1" applyBorder="1" applyAlignment="1">
      <alignment horizontal="right" vertical="top"/>
    </xf>
    <xf numFmtId="0" fontId="8" fillId="0" borderId="8" xfId="0" applyFont="1" applyBorder="1" applyAlignment="1">
      <alignment horizontal="left" vertical="top" wrapText="1"/>
    </xf>
    <xf numFmtId="166" fontId="2" fillId="3" borderId="7" xfId="1" applyNumberFormat="1" applyFont="1" applyFill="1" applyBorder="1" applyAlignment="1">
      <alignment horizontal="left" wrapText="1"/>
    </xf>
    <xf numFmtId="166" fontId="2" fillId="3" borderId="13" xfId="1" applyNumberFormat="1" applyFont="1" applyFill="1" applyBorder="1" applyAlignment="1">
      <alignment horizontal="left" wrapText="1"/>
    </xf>
    <xf numFmtId="166" fontId="2" fillId="0" borderId="14" xfId="1" applyNumberFormat="1" applyFont="1" applyBorder="1" applyAlignment="1">
      <alignment horizontal="right" vertical="top" shrinkToFit="1"/>
    </xf>
    <xf numFmtId="166" fontId="2" fillId="0" borderId="7" xfId="1" applyNumberFormat="1" applyFont="1" applyBorder="1" applyAlignment="1">
      <alignment horizontal="right" vertical="top" shrinkToFit="1"/>
    </xf>
    <xf numFmtId="166" fontId="2" fillId="3" borderId="3" xfId="1" applyNumberFormat="1" applyFont="1" applyFill="1" applyBorder="1" applyAlignment="1">
      <alignment horizontal="left" vertical="center" wrapText="1"/>
    </xf>
    <xf numFmtId="166" fontId="2" fillId="3" borderId="3" xfId="1" applyNumberFormat="1" applyFont="1" applyFill="1" applyBorder="1" applyAlignment="1">
      <alignment horizontal="left" wrapText="1"/>
    </xf>
    <xf numFmtId="166" fontId="2" fillId="3" borderId="4" xfId="1" applyNumberFormat="1" applyFont="1" applyFill="1" applyBorder="1" applyAlignment="1">
      <alignment horizontal="left" wrapText="1"/>
    </xf>
    <xf numFmtId="166" fontId="7" fillId="0" borderId="12" xfId="1" applyNumberFormat="1" applyFont="1" applyBorder="1" applyAlignment="1">
      <alignment horizontal="right" vertical="top"/>
    </xf>
    <xf numFmtId="166" fontId="2" fillId="2" borderId="13" xfId="1" applyNumberFormat="1" applyFont="1" applyFill="1" applyBorder="1" applyAlignment="1">
      <alignment horizontal="left" wrapText="1"/>
    </xf>
    <xf numFmtId="166" fontId="2" fillId="3" borderId="4" xfId="1" applyNumberFormat="1" applyFont="1" applyFill="1" applyBorder="1" applyAlignment="1">
      <alignment horizontal="left" vertical="center" wrapText="1"/>
    </xf>
    <xf numFmtId="166" fontId="2" fillId="2" borderId="4" xfId="1" applyNumberFormat="1" applyFont="1" applyFill="1" applyBorder="1" applyAlignment="1">
      <alignment horizontal="left" wrapText="1"/>
    </xf>
    <xf numFmtId="166" fontId="7" fillId="0" borderId="11" xfId="1" applyNumberFormat="1" applyFont="1" applyBorder="1" applyAlignment="1">
      <alignment horizontal="right" vertical="top"/>
    </xf>
    <xf numFmtId="0" fontId="8" fillId="0" borderId="1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left" vertical="top" wrapText="1"/>
    </xf>
    <xf numFmtId="164" fontId="4" fillId="0" borderId="10" xfId="0" applyNumberFormat="1" applyFont="1" applyBorder="1" applyAlignment="1">
      <alignment horizontal="left" vertical="top" wrapText="1"/>
    </xf>
    <xf numFmtId="166" fontId="2" fillId="3" borderId="6" xfId="1" applyNumberFormat="1" applyFont="1" applyFill="1" applyBorder="1" applyAlignment="1">
      <alignment horizontal="left" wrapText="1"/>
    </xf>
    <xf numFmtId="164" fontId="2" fillId="0" borderId="12" xfId="0" applyNumberFormat="1" applyFont="1" applyBorder="1" applyAlignment="1">
      <alignment horizontal="left" vertical="top"/>
    </xf>
    <xf numFmtId="166" fontId="8" fillId="0" borderId="4" xfId="1" applyNumberFormat="1" applyFont="1" applyBorder="1" applyAlignment="1">
      <alignment horizontal="right" vertical="top" wrapText="1"/>
    </xf>
    <xf numFmtId="166" fontId="8" fillId="0" borderId="1" xfId="1" applyNumberFormat="1" applyFont="1" applyBorder="1" applyAlignment="1">
      <alignment horizontal="right" vertical="top" wrapText="1"/>
    </xf>
    <xf numFmtId="166" fontId="8" fillId="0" borderId="15" xfId="1" applyNumberFormat="1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23494</xdr:rowOff>
    </xdr:from>
    <xdr:ext cx="1847850" cy="368922"/>
    <xdr:pic>
      <xdr:nvPicPr>
        <xdr:cNvPr id="2" name="image1.png">
          <a:extLst>
            <a:ext uri="{FF2B5EF4-FFF2-40B4-BE49-F238E27FC236}">
              <a16:creationId xmlns:a16="http://schemas.microsoft.com/office/drawing/2014/main" id="{70F1D77F-6093-4C14-910E-F2CF35651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669"/>
          <a:ext cx="1847850" cy="36892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njjudiciary-my.sharepoint.com/personal/keisha_bolaji_njcourts_gov/Documents/Desktop/Projects/August%202025/DV/TROs%20Not%20Served%20Biannual%20Report/YoY%202025/TROs%20Issued%20But%20Not%20Served%20Jan%2021%20vs%20Jan%2022%20vs%20Jan%2023%20vs%20Jan%2024.xlsx" TargetMode="External"/><Relationship Id="rId2" Type="http://schemas.microsoft.com/office/2019/04/relationships/externalLinkLongPath" Target="/personal/keisha_bolaji_njcourts_gov/Documents/Desktop/Projects/August%202025/DV/TROs%20Not%20Served%20Biannual%20Report/YoY%202025/TROs%20Issued%20But%20Not%20Served%20Jan%2021%20vs%20Jan%2022%20vs%20Jan%2023%20vs%20Jan%2024.xlsx?34895730" TargetMode="External"/><Relationship Id="rId1" Type="http://schemas.openxmlformats.org/officeDocument/2006/relationships/externalLinkPath" Target="file:///\\34895730\TROs%20Issued%20But%20Not%20Served%20Jan%2021%20vs%20Jan%2022%20vs%20Jan%2023%20vs%20Jan%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Table 1"/>
      <sheetName val="VBA_Version_KB"/>
      <sheetName val="Version Entry Logs"/>
      <sheetName val="TROs Issued But Not Served Jan "/>
    </sheetNames>
    <sheetDataSet>
      <sheetData sheetId="0"/>
      <sheetData sheetId="1"/>
      <sheetData sheetId="2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EC99A33-6594-43FE-996F-CF3E34911FD6}" autoFormatId="16" applyNumberFormats="0" applyBorderFormats="0" applyFontFormats="0" applyPatternFormats="0" applyAlignmentFormats="0" applyWidthHeightFormats="0">
  <queryTableRefresh nextId="4">
    <queryTableFields count="3">
      <queryTableField id="1" name="County" tableColumnId="1"/>
      <queryTableField id="2" name="YearGroup" tableColumnId="2"/>
      <queryTableField id="3" name="TotalCou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DEC8E3-175C-43AA-B787-E93EFF0ED189}" name="VB_2026" displayName="VB_2026" ref="A1:C110" tableType="queryTable" totalsRowShown="0">
  <autoFilter ref="A1:C110" xr:uid="{47DEC8E3-175C-43AA-B787-E93EFF0ED189}"/>
  <tableColumns count="3">
    <tableColumn id="1" xr3:uid="{02592D9A-D26A-401B-A622-ED7CAFCD6ABA}" uniqueName="1" name="County" queryTableFieldId="1" dataDxfId="0"/>
    <tableColumn id="2" xr3:uid="{3535DE9C-83C4-4DB8-AED5-F4CE60BD05EE}" uniqueName="2" name="YearGroup" queryTableFieldId="2"/>
    <tableColumn id="3" xr3:uid="{BC20D7C2-2758-465F-80D9-899123B648E2}" uniqueName="3" name="TotalCount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3D70-F0FF-4B02-A705-B4406A1489A5}">
  <dimension ref="A1:N115"/>
  <sheetViews>
    <sheetView tabSelected="1" workbookViewId="0">
      <selection activeCell="C117" sqref="C117"/>
    </sheetView>
  </sheetViews>
  <sheetFormatPr defaultColWidth="8.84375" defaultRowHeight="13" x14ac:dyDescent="0.35"/>
  <cols>
    <col min="1" max="1" width="8.4609375" style="3" customWidth="1"/>
    <col min="2" max="2" width="10.765625" style="35" customWidth="1"/>
    <col min="3" max="11" width="8.4609375" style="3" customWidth="1"/>
    <col min="12" max="16384" width="8.84375" style="3"/>
  </cols>
  <sheetData>
    <row r="1" spans="1:14" ht="34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4" ht="17.149999999999999" customHeight="1" x14ac:dyDescent="0.3">
      <c r="A2" s="4"/>
      <c r="B2" s="5"/>
      <c r="C2" s="4"/>
      <c r="D2" s="4"/>
      <c r="E2" s="4"/>
      <c r="F2" s="4"/>
      <c r="G2" s="4"/>
      <c r="H2" s="4"/>
      <c r="I2" s="4"/>
      <c r="J2" s="4"/>
      <c r="K2" s="6">
        <v>45922</v>
      </c>
    </row>
    <row r="3" spans="1:14" ht="44.15" customHeight="1" x14ac:dyDescent="0.35">
      <c r="A3" s="7" t="s">
        <v>34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spans="1:14" s="16" customFormat="1" ht="27" customHeight="1" x14ac:dyDescent="0.35">
      <c r="A4" s="9"/>
      <c r="B4" s="9"/>
      <c r="C4" s="10">
        <v>2025</v>
      </c>
      <c r="D4" s="11">
        <v>2024</v>
      </c>
      <c r="E4" s="11">
        <v>2023</v>
      </c>
      <c r="F4" s="12">
        <v>2022</v>
      </c>
      <c r="G4" s="13">
        <v>2021</v>
      </c>
      <c r="H4" s="14">
        <v>2020</v>
      </c>
      <c r="I4" s="11">
        <v>2019</v>
      </c>
      <c r="J4" s="11">
        <v>2018</v>
      </c>
      <c r="K4" s="15" t="s">
        <v>16</v>
      </c>
      <c r="M4" s="17"/>
      <c r="N4" s="17"/>
    </row>
    <row r="5" spans="1:14" ht="14.25" customHeight="1" x14ac:dyDescent="0.3">
      <c r="A5" s="18" t="s">
        <v>3</v>
      </c>
      <c r="B5" s="19" t="s">
        <v>35</v>
      </c>
      <c r="C5" s="20"/>
      <c r="D5" s="21"/>
      <c r="E5" s="22"/>
      <c r="F5" s="23"/>
      <c r="G5" s="24">
        <v>148</v>
      </c>
      <c r="H5" s="25">
        <v>52</v>
      </c>
      <c r="I5" s="26">
        <v>42</v>
      </c>
      <c r="J5" s="26">
        <v>55</v>
      </c>
      <c r="K5" s="26">
        <v>419</v>
      </c>
      <c r="M5" s="27"/>
    </row>
    <row r="6" spans="1:14" ht="14.25" customHeight="1" x14ac:dyDescent="0.3">
      <c r="A6" s="18"/>
      <c r="B6" s="28" t="s">
        <v>36</v>
      </c>
      <c r="C6" s="20"/>
      <c r="D6" s="29"/>
      <c r="E6" s="21"/>
      <c r="F6" s="30">
        <v>152</v>
      </c>
      <c r="G6" s="24">
        <v>96</v>
      </c>
      <c r="H6" s="25">
        <v>44</v>
      </c>
      <c r="I6" s="26">
        <v>40</v>
      </c>
      <c r="J6" s="26">
        <v>51</v>
      </c>
      <c r="K6" s="26">
        <v>413</v>
      </c>
    </row>
    <row r="7" spans="1:14" ht="14.25" customHeight="1" x14ac:dyDescent="0.3">
      <c r="A7" s="18"/>
      <c r="B7" s="28" t="s">
        <v>37</v>
      </c>
      <c r="C7" s="20"/>
      <c r="D7" s="29"/>
      <c r="E7" s="26">
        <v>152</v>
      </c>
      <c r="F7" s="30">
        <v>88</v>
      </c>
      <c r="G7" s="24">
        <v>93</v>
      </c>
      <c r="H7" s="25">
        <v>37</v>
      </c>
      <c r="I7" s="26">
        <v>36</v>
      </c>
      <c r="J7" s="26">
        <v>51</v>
      </c>
      <c r="K7" s="26">
        <v>403</v>
      </c>
    </row>
    <row r="8" spans="1:14" ht="14.25" customHeight="1" x14ac:dyDescent="0.3">
      <c r="A8" s="18"/>
      <c r="B8" s="28" t="s">
        <v>38</v>
      </c>
      <c r="C8" s="20"/>
      <c r="D8" s="31">
        <v>143</v>
      </c>
      <c r="E8" s="31">
        <v>87</v>
      </c>
      <c r="F8" s="32">
        <v>68</v>
      </c>
      <c r="G8" s="24">
        <v>82</v>
      </c>
      <c r="H8" s="33">
        <v>36</v>
      </c>
      <c r="I8" s="31">
        <v>31</v>
      </c>
      <c r="J8" s="31">
        <v>46</v>
      </c>
      <c r="K8" s="31">
        <v>397</v>
      </c>
    </row>
    <row r="9" spans="1:14" ht="14.25" customHeight="1" x14ac:dyDescent="0.35">
      <c r="A9" s="34"/>
      <c r="B9" s="35">
        <v>45846</v>
      </c>
      <c r="C9" s="36">
        <v>63</v>
      </c>
      <c r="D9" s="36">
        <v>100</v>
      </c>
      <c r="E9" s="37">
        <v>77</v>
      </c>
      <c r="F9" s="38">
        <v>63</v>
      </c>
      <c r="G9" s="39">
        <v>76</v>
      </c>
      <c r="H9" s="40">
        <v>36</v>
      </c>
      <c r="I9" s="37">
        <v>28</v>
      </c>
      <c r="J9" s="37">
        <v>45</v>
      </c>
      <c r="K9" s="37">
        <v>394</v>
      </c>
    </row>
    <row r="10" spans="1:14" ht="14.25" customHeight="1" x14ac:dyDescent="0.3">
      <c r="A10" s="41" t="s">
        <v>9</v>
      </c>
      <c r="B10" s="28" t="s">
        <v>35</v>
      </c>
      <c r="C10" s="20"/>
      <c r="D10" s="42"/>
      <c r="E10" s="42"/>
      <c r="F10" s="43"/>
      <c r="G10" s="24">
        <v>146</v>
      </c>
      <c r="H10" s="44">
        <v>67</v>
      </c>
      <c r="I10" s="45">
        <v>77</v>
      </c>
      <c r="J10" s="45">
        <v>60</v>
      </c>
      <c r="K10" s="45">
        <v>463</v>
      </c>
    </row>
    <row r="11" spans="1:14" ht="14.25" customHeight="1" x14ac:dyDescent="0.3">
      <c r="A11" s="18"/>
      <c r="B11" s="28" t="s">
        <v>36</v>
      </c>
      <c r="C11" s="42"/>
      <c r="D11" s="46"/>
      <c r="E11" s="46"/>
      <c r="F11" s="30">
        <v>98</v>
      </c>
      <c r="G11" s="24">
        <v>113</v>
      </c>
      <c r="H11" s="25">
        <v>55</v>
      </c>
      <c r="I11" s="26">
        <v>70</v>
      </c>
      <c r="J11" s="26">
        <v>53</v>
      </c>
      <c r="K11" s="26">
        <v>437</v>
      </c>
    </row>
    <row r="12" spans="1:14" ht="14.25" customHeight="1" x14ac:dyDescent="0.3">
      <c r="A12" s="18"/>
      <c r="B12" s="28" t="s">
        <v>37</v>
      </c>
      <c r="C12" s="42"/>
      <c r="D12" s="47"/>
      <c r="E12" s="26">
        <v>113</v>
      </c>
      <c r="F12" s="30">
        <v>72</v>
      </c>
      <c r="G12" s="24">
        <v>94</v>
      </c>
      <c r="H12" s="25">
        <v>36</v>
      </c>
      <c r="I12" s="26">
        <v>63</v>
      </c>
      <c r="J12" s="26">
        <v>48</v>
      </c>
      <c r="K12" s="26">
        <v>382</v>
      </c>
    </row>
    <row r="13" spans="1:14" ht="14.25" customHeight="1" x14ac:dyDescent="0.3">
      <c r="A13" s="18"/>
      <c r="B13" s="28" t="s">
        <v>38</v>
      </c>
      <c r="C13" s="42"/>
      <c r="D13" s="26">
        <v>140</v>
      </c>
      <c r="E13" s="26">
        <v>78</v>
      </c>
      <c r="F13" s="30">
        <v>68</v>
      </c>
      <c r="G13" s="24">
        <v>86</v>
      </c>
      <c r="H13" s="25">
        <v>35</v>
      </c>
      <c r="I13" s="26">
        <v>62</v>
      </c>
      <c r="J13" s="26">
        <v>46</v>
      </c>
      <c r="K13" s="26">
        <v>329</v>
      </c>
    </row>
    <row r="14" spans="1:14" ht="14.25" customHeight="1" x14ac:dyDescent="0.35">
      <c r="A14" s="34"/>
      <c r="B14" s="35">
        <v>45846</v>
      </c>
      <c r="C14" s="36">
        <v>79</v>
      </c>
      <c r="D14" s="36">
        <v>102</v>
      </c>
      <c r="E14" s="39">
        <v>75</v>
      </c>
      <c r="F14" s="38">
        <v>67</v>
      </c>
      <c r="G14" s="37">
        <v>83</v>
      </c>
      <c r="H14" s="40">
        <v>34</v>
      </c>
      <c r="I14" s="37">
        <v>62</v>
      </c>
      <c r="J14" s="37">
        <v>46</v>
      </c>
      <c r="K14" s="37">
        <v>303</v>
      </c>
    </row>
    <row r="15" spans="1:14" ht="14.25" customHeight="1" x14ac:dyDescent="0.3">
      <c r="A15" s="41" t="s">
        <v>12</v>
      </c>
      <c r="B15" s="28" t="s">
        <v>35</v>
      </c>
      <c r="C15" s="20"/>
      <c r="D15" s="21"/>
      <c r="E15" s="21"/>
      <c r="F15" s="23"/>
      <c r="G15" s="24">
        <v>103</v>
      </c>
      <c r="H15" s="25">
        <v>79</v>
      </c>
      <c r="I15" s="26">
        <v>51</v>
      </c>
      <c r="J15" s="26">
        <v>23</v>
      </c>
      <c r="K15" s="26">
        <v>255</v>
      </c>
    </row>
    <row r="16" spans="1:14" ht="14.25" customHeight="1" x14ac:dyDescent="0.3">
      <c r="A16" s="18"/>
      <c r="B16" s="28" t="s">
        <v>36</v>
      </c>
      <c r="C16" s="20"/>
      <c r="D16" s="29"/>
      <c r="E16" s="29"/>
      <c r="F16" s="30">
        <v>82</v>
      </c>
      <c r="G16" s="24">
        <v>67</v>
      </c>
      <c r="H16" s="25">
        <v>70</v>
      </c>
      <c r="I16" s="26">
        <v>51</v>
      </c>
      <c r="J16" s="26">
        <v>23</v>
      </c>
      <c r="K16" s="26">
        <v>256</v>
      </c>
    </row>
    <row r="17" spans="1:11" ht="14.25" customHeight="1" x14ac:dyDescent="0.3">
      <c r="A17" s="18"/>
      <c r="B17" s="28" t="s">
        <v>37</v>
      </c>
      <c r="C17" s="20"/>
      <c r="D17" s="21"/>
      <c r="E17" s="26">
        <v>115</v>
      </c>
      <c r="F17" s="30">
        <v>65</v>
      </c>
      <c r="G17" s="24">
        <v>75</v>
      </c>
      <c r="H17" s="25">
        <v>58</v>
      </c>
      <c r="I17" s="26">
        <v>52</v>
      </c>
      <c r="J17" s="26">
        <v>28</v>
      </c>
      <c r="K17" s="26">
        <v>263</v>
      </c>
    </row>
    <row r="18" spans="1:11" ht="14.25" customHeight="1" x14ac:dyDescent="0.3">
      <c r="A18" s="18"/>
      <c r="B18" s="28" t="s">
        <v>38</v>
      </c>
      <c r="C18" s="20"/>
      <c r="D18" s="26">
        <v>97</v>
      </c>
      <c r="E18" s="26">
        <v>80</v>
      </c>
      <c r="F18" s="30">
        <v>61</v>
      </c>
      <c r="G18" s="24">
        <v>67</v>
      </c>
      <c r="H18" s="25">
        <v>55</v>
      </c>
      <c r="I18" s="26">
        <v>48</v>
      </c>
      <c r="J18" s="26">
        <v>28</v>
      </c>
      <c r="K18" s="26">
        <v>260</v>
      </c>
    </row>
    <row r="19" spans="1:11" ht="14.25" customHeight="1" x14ac:dyDescent="0.35">
      <c r="A19" s="34"/>
      <c r="B19" s="35">
        <v>45846</v>
      </c>
      <c r="C19" s="36">
        <v>85</v>
      </c>
      <c r="D19" s="36">
        <v>72</v>
      </c>
      <c r="E19" s="39">
        <v>76</v>
      </c>
      <c r="F19" s="38">
        <v>58</v>
      </c>
      <c r="G19" s="37">
        <v>65</v>
      </c>
      <c r="H19" s="40">
        <v>53</v>
      </c>
      <c r="I19" s="39">
        <v>46</v>
      </c>
      <c r="J19" s="37">
        <v>28</v>
      </c>
      <c r="K19" s="39">
        <v>259</v>
      </c>
    </row>
    <row r="20" spans="1:11" ht="14.25" customHeight="1" x14ac:dyDescent="0.3">
      <c r="A20" s="41" t="s">
        <v>14</v>
      </c>
      <c r="B20" s="28" t="s">
        <v>35</v>
      </c>
      <c r="C20" s="42"/>
      <c r="D20" s="47"/>
      <c r="E20" s="47"/>
      <c r="F20" s="48"/>
      <c r="G20" s="24">
        <v>278</v>
      </c>
      <c r="H20" s="25">
        <v>114</v>
      </c>
      <c r="I20" s="26">
        <v>155</v>
      </c>
      <c r="J20" s="26">
        <v>78</v>
      </c>
      <c r="K20" s="26">
        <v>1258</v>
      </c>
    </row>
    <row r="21" spans="1:11" ht="14.25" customHeight="1" x14ac:dyDescent="0.3">
      <c r="A21" s="18"/>
      <c r="B21" s="28" t="s">
        <v>36</v>
      </c>
      <c r="C21" s="42"/>
      <c r="D21" s="46"/>
      <c r="E21" s="46"/>
      <c r="F21" s="30">
        <v>230</v>
      </c>
      <c r="G21" s="24">
        <v>201</v>
      </c>
      <c r="H21" s="25">
        <v>108</v>
      </c>
      <c r="I21" s="26">
        <v>149</v>
      </c>
      <c r="J21" s="26">
        <v>73</v>
      </c>
      <c r="K21" s="26">
        <v>1257</v>
      </c>
    </row>
    <row r="22" spans="1:11" ht="14.25" customHeight="1" x14ac:dyDescent="0.3">
      <c r="A22" s="18"/>
      <c r="B22" s="28" t="s">
        <v>37</v>
      </c>
      <c r="C22" s="42"/>
      <c r="D22" s="47"/>
      <c r="E22" s="26">
        <v>270</v>
      </c>
      <c r="F22" s="30">
        <v>150</v>
      </c>
      <c r="G22" s="24">
        <v>153</v>
      </c>
      <c r="H22" s="25">
        <v>94</v>
      </c>
      <c r="I22" s="26">
        <v>143</v>
      </c>
      <c r="J22" s="26">
        <v>71</v>
      </c>
      <c r="K22" s="26">
        <v>1267</v>
      </c>
    </row>
    <row r="23" spans="1:11" ht="14.25" customHeight="1" x14ac:dyDescent="0.3">
      <c r="A23" s="18"/>
      <c r="B23" s="28" t="s">
        <v>38</v>
      </c>
      <c r="C23" s="42"/>
      <c r="D23" s="31">
        <v>285</v>
      </c>
      <c r="E23" s="31">
        <v>164</v>
      </c>
      <c r="F23" s="32">
        <v>135</v>
      </c>
      <c r="G23" s="24">
        <v>146</v>
      </c>
      <c r="H23" s="33">
        <v>88</v>
      </c>
      <c r="I23" s="31">
        <v>137</v>
      </c>
      <c r="J23" s="26">
        <v>67</v>
      </c>
      <c r="K23" s="26">
        <v>1263</v>
      </c>
    </row>
    <row r="24" spans="1:11" ht="14.25" customHeight="1" x14ac:dyDescent="0.35">
      <c r="A24" s="34"/>
      <c r="B24" s="35">
        <v>45846</v>
      </c>
      <c r="C24" s="36">
        <v>155</v>
      </c>
      <c r="D24" s="36">
        <v>212</v>
      </c>
      <c r="E24" s="39">
        <v>155</v>
      </c>
      <c r="F24" s="38">
        <v>131</v>
      </c>
      <c r="G24" s="37">
        <v>143</v>
      </c>
      <c r="H24" s="49">
        <v>85</v>
      </c>
      <c r="I24" s="37">
        <v>136</v>
      </c>
      <c r="J24" s="37">
        <v>66</v>
      </c>
      <c r="K24" s="37">
        <v>1263</v>
      </c>
    </row>
    <row r="25" spans="1:11" ht="14.25" customHeight="1" x14ac:dyDescent="0.3">
      <c r="A25" s="41" t="s">
        <v>17</v>
      </c>
      <c r="B25" s="28" t="s">
        <v>35</v>
      </c>
      <c r="C25" s="20"/>
      <c r="D25" s="20"/>
      <c r="E25" s="20"/>
      <c r="F25" s="50"/>
      <c r="G25" s="24">
        <v>26</v>
      </c>
      <c r="H25" s="44">
        <v>19</v>
      </c>
      <c r="I25" s="45">
        <v>7</v>
      </c>
      <c r="J25" s="26">
        <v>13</v>
      </c>
      <c r="K25" s="26">
        <v>78</v>
      </c>
    </row>
    <row r="26" spans="1:11" ht="14.25" customHeight="1" x14ac:dyDescent="0.3">
      <c r="A26" s="18"/>
      <c r="B26" s="28" t="s">
        <v>36</v>
      </c>
      <c r="C26" s="20"/>
      <c r="D26" s="29"/>
      <c r="E26" s="29"/>
      <c r="F26" s="30">
        <v>32</v>
      </c>
      <c r="G26" s="24">
        <v>17</v>
      </c>
      <c r="H26" s="25">
        <v>18</v>
      </c>
      <c r="I26" s="26">
        <v>7</v>
      </c>
      <c r="J26" s="26">
        <v>12</v>
      </c>
      <c r="K26" s="26">
        <v>78</v>
      </c>
    </row>
    <row r="27" spans="1:11" ht="14.25" customHeight="1" x14ac:dyDescent="0.3">
      <c r="A27" s="18"/>
      <c r="B27" s="28" t="s">
        <v>37</v>
      </c>
      <c r="C27" s="20"/>
      <c r="D27" s="21"/>
      <c r="E27" s="26">
        <v>14</v>
      </c>
      <c r="F27" s="30">
        <v>25</v>
      </c>
      <c r="G27" s="24">
        <v>16</v>
      </c>
      <c r="H27" s="25">
        <v>15</v>
      </c>
      <c r="I27" s="26">
        <v>8</v>
      </c>
      <c r="J27" s="26">
        <v>12</v>
      </c>
      <c r="K27" s="26">
        <v>77</v>
      </c>
    </row>
    <row r="28" spans="1:11" ht="14.25" customHeight="1" x14ac:dyDescent="0.3">
      <c r="A28" s="18"/>
      <c r="B28" s="28" t="s">
        <v>38</v>
      </c>
      <c r="C28" s="20"/>
      <c r="D28" s="26">
        <v>16</v>
      </c>
      <c r="E28" s="26">
        <v>6</v>
      </c>
      <c r="F28" s="30">
        <v>26</v>
      </c>
      <c r="G28" s="24">
        <v>16</v>
      </c>
      <c r="H28" s="25">
        <v>15</v>
      </c>
      <c r="I28" s="26">
        <v>7</v>
      </c>
      <c r="J28" s="26">
        <v>12</v>
      </c>
      <c r="K28" s="26">
        <v>77</v>
      </c>
    </row>
    <row r="29" spans="1:11" ht="14.25" customHeight="1" x14ac:dyDescent="0.35">
      <c r="A29" s="34"/>
      <c r="B29" s="35">
        <v>45846</v>
      </c>
      <c r="C29" s="36">
        <v>14</v>
      </c>
      <c r="D29" s="36">
        <v>12</v>
      </c>
      <c r="E29" s="37">
        <v>5</v>
      </c>
      <c r="F29" s="38">
        <v>25</v>
      </c>
      <c r="G29" s="37">
        <v>15</v>
      </c>
      <c r="H29" s="40">
        <v>14</v>
      </c>
      <c r="I29" s="37">
        <v>7</v>
      </c>
      <c r="J29" s="37">
        <v>12</v>
      </c>
      <c r="K29" s="37">
        <v>78</v>
      </c>
    </row>
    <row r="30" spans="1:11" ht="14.25" customHeight="1" x14ac:dyDescent="0.3">
      <c r="A30" s="41" t="s">
        <v>18</v>
      </c>
      <c r="B30" s="28" t="s">
        <v>35</v>
      </c>
      <c r="C30" s="42"/>
      <c r="D30" s="46"/>
      <c r="E30" s="46"/>
      <c r="F30" s="51"/>
      <c r="G30" s="24">
        <v>79</v>
      </c>
      <c r="H30" s="25">
        <v>36</v>
      </c>
      <c r="I30" s="26">
        <v>22</v>
      </c>
      <c r="J30" s="26">
        <v>21</v>
      </c>
      <c r="K30" s="26">
        <v>171</v>
      </c>
    </row>
    <row r="31" spans="1:11" ht="14.25" customHeight="1" x14ac:dyDescent="0.3">
      <c r="A31" s="18"/>
      <c r="B31" s="28" t="s">
        <v>36</v>
      </c>
      <c r="C31" s="42"/>
      <c r="D31" s="47"/>
      <c r="E31" s="47"/>
      <c r="F31" s="30">
        <v>75</v>
      </c>
      <c r="G31" s="24">
        <v>52</v>
      </c>
      <c r="H31" s="25">
        <v>31</v>
      </c>
      <c r="I31" s="26">
        <v>19</v>
      </c>
      <c r="J31" s="26">
        <v>21</v>
      </c>
      <c r="K31" s="26">
        <v>168</v>
      </c>
    </row>
    <row r="32" spans="1:11" ht="14.25" customHeight="1" x14ac:dyDescent="0.3">
      <c r="A32" s="18"/>
      <c r="B32" s="28" t="s">
        <v>37</v>
      </c>
      <c r="C32" s="42"/>
      <c r="D32" s="47"/>
      <c r="E32" s="26">
        <v>70</v>
      </c>
      <c r="F32" s="30">
        <v>49</v>
      </c>
      <c r="G32" s="24">
        <v>43</v>
      </c>
      <c r="H32" s="25">
        <v>29</v>
      </c>
      <c r="I32" s="26">
        <v>14</v>
      </c>
      <c r="J32" s="26">
        <v>20</v>
      </c>
      <c r="K32" s="26">
        <v>174</v>
      </c>
    </row>
    <row r="33" spans="1:11" ht="14.25" customHeight="1" x14ac:dyDescent="0.3">
      <c r="A33" s="18"/>
      <c r="B33" s="28" t="s">
        <v>38</v>
      </c>
      <c r="C33" s="42"/>
      <c r="D33" s="26">
        <v>70</v>
      </c>
      <c r="E33" s="26">
        <v>48</v>
      </c>
      <c r="F33" s="30">
        <v>39</v>
      </c>
      <c r="G33" s="24">
        <v>40</v>
      </c>
      <c r="H33" s="25">
        <v>28</v>
      </c>
      <c r="I33" s="26">
        <v>12</v>
      </c>
      <c r="J33" s="26">
        <v>18</v>
      </c>
      <c r="K33" s="26">
        <v>173</v>
      </c>
    </row>
    <row r="34" spans="1:11" ht="14.25" customHeight="1" x14ac:dyDescent="0.35">
      <c r="A34" s="34"/>
      <c r="B34" s="35">
        <v>45846</v>
      </c>
      <c r="C34" s="36">
        <v>63</v>
      </c>
      <c r="D34" s="36">
        <v>55</v>
      </c>
      <c r="E34" s="37">
        <v>45</v>
      </c>
      <c r="F34" s="38">
        <v>38</v>
      </c>
      <c r="G34" s="37">
        <v>40</v>
      </c>
      <c r="H34" s="40">
        <v>28</v>
      </c>
      <c r="I34" s="37">
        <v>12</v>
      </c>
      <c r="J34" s="37">
        <v>18</v>
      </c>
      <c r="K34" s="37">
        <v>170</v>
      </c>
    </row>
    <row r="35" spans="1:11" ht="14.25" customHeight="1" x14ac:dyDescent="0.3">
      <c r="A35" s="41" t="s">
        <v>19</v>
      </c>
      <c r="B35" s="28" t="s">
        <v>35</v>
      </c>
      <c r="C35" s="20"/>
      <c r="D35" s="29"/>
      <c r="E35" s="29"/>
      <c r="F35" s="52"/>
      <c r="G35" s="24">
        <v>738</v>
      </c>
      <c r="H35" s="25">
        <v>435</v>
      </c>
      <c r="I35" s="26">
        <v>231</v>
      </c>
      <c r="J35" s="26">
        <v>209</v>
      </c>
      <c r="K35" s="26">
        <v>3117</v>
      </c>
    </row>
    <row r="36" spans="1:11" ht="14.25" customHeight="1" x14ac:dyDescent="0.3">
      <c r="A36" s="18"/>
      <c r="B36" s="28" t="s">
        <v>36</v>
      </c>
      <c r="C36" s="20"/>
      <c r="D36" s="21"/>
      <c r="E36" s="21"/>
      <c r="F36" s="30">
        <v>736</v>
      </c>
      <c r="G36" s="24">
        <v>584</v>
      </c>
      <c r="H36" s="25">
        <v>387</v>
      </c>
      <c r="I36" s="26">
        <v>220</v>
      </c>
      <c r="J36" s="26">
        <v>207</v>
      </c>
      <c r="K36" s="26">
        <v>3102</v>
      </c>
    </row>
    <row r="37" spans="1:11" ht="14.25" customHeight="1" x14ac:dyDescent="0.3">
      <c r="A37" s="18"/>
      <c r="B37" s="28" t="s">
        <v>37</v>
      </c>
      <c r="C37" s="20"/>
      <c r="D37" s="29"/>
      <c r="E37" s="26">
        <v>806</v>
      </c>
      <c r="F37" s="30">
        <v>562</v>
      </c>
      <c r="G37" s="24">
        <v>543</v>
      </c>
      <c r="H37" s="25">
        <v>322</v>
      </c>
      <c r="I37" s="26">
        <v>205</v>
      </c>
      <c r="J37" s="26">
        <v>198</v>
      </c>
      <c r="K37" s="26">
        <v>3078</v>
      </c>
    </row>
    <row r="38" spans="1:11" ht="14.25" customHeight="1" x14ac:dyDescent="0.3">
      <c r="A38" s="18"/>
      <c r="B38" s="28" t="s">
        <v>38</v>
      </c>
      <c r="C38" s="20"/>
      <c r="D38" s="26">
        <v>707</v>
      </c>
      <c r="E38" s="26">
        <v>600</v>
      </c>
      <c r="F38" s="30">
        <v>517</v>
      </c>
      <c r="G38" s="24">
        <v>509</v>
      </c>
      <c r="H38" s="25">
        <v>300</v>
      </c>
      <c r="I38" s="26">
        <v>196</v>
      </c>
      <c r="J38" s="26">
        <v>192</v>
      </c>
      <c r="K38" s="26">
        <v>3062</v>
      </c>
    </row>
    <row r="39" spans="1:11" ht="14.25" customHeight="1" x14ac:dyDescent="0.35">
      <c r="A39" s="34"/>
      <c r="B39" s="35">
        <v>45846</v>
      </c>
      <c r="C39" s="36">
        <v>384</v>
      </c>
      <c r="D39" s="36">
        <v>601</v>
      </c>
      <c r="E39" s="37">
        <v>580</v>
      </c>
      <c r="F39" s="38">
        <v>497</v>
      </c>
      <c r="G39" s="37">
        <v>501</v>
      </c>
      <c r="H39" s="40">
        <v>295</v>
      </c>
      <c r="I39" s="39">
        <v>193</v>
      </c>
      <c r="J39" s="37">
        <v>190</v>
      </c>
      <c r="K39" s="37">
        <v>3052</v>
      </c>
    </row>
    <row r="40" spans="1:11" ht="14.25" customHeight="1" x14ac:dyDescent="0.3">
      <c r="A40" s="41" t="s">
        <v>20</v>
      </c>
      <c r="B40" s="28" t="s">
        <v>35</v>
      </c>
      <c r="C40" s="42"/>
      <c r="D40" s="46"/>
      <c r="E40" s="46"/>
      <c r="F40" s="51"/>
      <c r="G40" s="24">
        <v>44</v>
      </c>
      <c r="H40" s="25">
        <v>39</v>
      </c>
      <c r="I40" s="26">
        <v>27</v>
      </c>
      <c r="J40" s="26">
        <v>31</v>
      </c>
      <c r="K40" s="26">
        <v>190</v>
      </c>
    </row>
    <row r="41" spans="1:11" ht="14.25" customHeight="1" x14ac:dyDescent="0.3">
      <c r="A41" s="18"/>
      <c r="B41" s="28" t="s">
        <v>36</v>
      </c>
      <c r="C41" s="42"/>
      <c r="D41" s="47"/>
      <c r="E41" s="47"/>
      <c r="F41" s="30">
        <v>57</v>
      </c>
      <c r="G41" s="24">
        <v>33</v>
      </c>
      <c r="H41" s="25">
        <v>33</v>
      </c>
      <c r="I41" s="26">
        <v>27</v>
      </c>
      <c r="J41" s="26">
        <v>31</v>
      </c>
      <c r="K41" s="26">
        <v>187</v>
      </c>
    </row>
    <row r="42" spans="1:11" ht="14.25" customHeight="1" x14ac:dyDescent="0.3">
      <c r="A42" s="18"/>
      <c r="B42" s="28" t="s">
        <v>37</v>
      </c>
      <c r="C42" s="42"/>
      <c r="D42" s="46"/>
      <c r="E42" s="26">
        <v>74</v>
      </c>
      <c r="F42" s="30">
        <v>46</v>
      </c>
      <c r="G42" s="24">
        <v>38</v>
      </c>
      <c r="H42" s="25">
        <v>32</v>
      </c>
      <c r="I42" s="26">
        <v>26</v>
      </c>
      <c r="J42" s="26">
        <v>31</v>
      </c>
      <c r="K42" s="26">
        <v>192</v>
      </c>
    </row>
    <row r="43" spans="1:11" ht="14.25" customHeight="1" x14ac:dyDescent="0.3">
      <c r="A43" s="18"/>
      <c r="B43" s="28" t="s">
        <v>38</v>
      </c>
      <c r="C43" s="42"/>
      <c r="D43" s="26">
        <v>78</v>
      </c>
      <c r="E43" s="26">
        <v>56</v>
      </c>
      <c r="F43" s="30">
        <v>42</v>
      </c>
      <c r="G43" s="24">
        <v>33</v>
      </c>
      <c r="H43" s="25">
        <v>30</v>
      </c>
      <c r="I43" s="26">
        <v>23</v>
      </c>
      <c r="J43" s="26">
        <v>30</v>
      </c>
      <c r="K43" s="26">
        <v>192</v>
      </c>
    </row>
    <row r="44" spans="1:11" ht="14.25" customHeight="1" x14ac:dyDescent="0.35">
      <c r="A44" s="34"/>
      <c r="B44" s="35">
        <v>45846</v>
      </c>
      <c r="C44" s="36">
        <v>46</v>
      </c>
      <c r="D44" s="36">
        <v>51</v>
      </c>
      <c r="E44" s="37">
        <v>54</v>
      </c>
      <c r="F44" s="38">
        <v>41</v>
      </c>
      <c r="G44" s="37">
        <v>33</v>
      </c>
      <c r="H44" s="40">
        <v>30</v>
      </c>
      <c r="I44" s="37">
        <v>23</v>
      </c>
      <c r="J44" s="37">
        <v>30</v>
      </c>
      <c r="K44" s="39">
        <v>192</v>
      </c>
    </row>
    <row r="45" spans="1:11" ht="14.25" customHeight="1" x14ac:dyDescent="0.3">
      <c r="A45" s="41" t="s">
        <v>22</v>
      </c>
      <c r="B45" s="28" t="s">
        <v>35</v>
      </c>
      <c r="C45" s="20"/>
      <c r="D45" s="29"/>
      <c r="E45" s="29"/>
      <c r="F45" s="52"/>
      <c r="G45" s="24">
        <v>317</v>
      </c>
      <c r="H45" s="25">
        <v>206</v>
      </c>
      <c r="I45" s="26">
        <v>103</v>
      </c>
      <c r="J45" s="26">
        <v>116</v>
      </c>
      <c r="K45" s="26">
        <v>1499</v>
      </c>
    </row>
    <row r="46" spans="1:11" ht="14.25" customHeight="1" x14ac:dyDescent="0.3">
      <c r="A46" s="18"/>
      <c r="B46" s="28" t="s">
        <v>36</v>
      </c>
      <c r="C46" s="20"/>
      <c r="D46" s="21"/>
      <c r="E46" s="21"/>
      <c r="F46" s="30">
        <v>402</v>
      </c>
      <c r="G46" s="24">
        <v>221</v>
      </c>
      <c r="H46" s="25">
        <v>185</v>
      </c>
      <c r="I46" s="26">
        <v>102</v>
      </c>
      <c r="J46" s="26">
        <v>107</v>
      </c>
      <c r="K46" s="26">
        <v>1482</v>
      </c>
    </row>
    <row r="47" spans="1:11" ht="14.25" customHeight="1" x14ac:dyDescent="0.3">
      <c r="A47" s="18"/>
      <c r="B47" s="28" t="s">
        <v>37</v>
      </c>
      <c r="C47" s="20"/>
      <c r="D47" s="29"/>
      <c r="E47" s="26">
        <v>365</v>
      </c>
      <c r="F47" s="30">
        <v>257</v>
      </c>
      <c r="G47" s="24">
        <v>171</v>
      </c>
      <c r="H47" s="25">
        <v>145</v>
      </c>
      <c r="I47" s="26">
        <v>110</v>
      </c>
      <c r="J47" s="26">
        <v>113</v>
      </c>
      <c r="K47" s="26">
        <v>1491</v>
      </c>
    </row>
    <row r="48" spans="1:11" ht="14.25" customHeight="1" x14ac:dyDescent="0.3">
      <c r="A48" s="18"/>
      <c r="B48" s="28" t="s">
        <v>38</v>
      </c>
      <c r="C48" s="20"/>
      <c r="D48" s="26">
        <v>449</v>
      </c>
      <c r="E48" s="26">
        <v>249</v>
      </c>
      <c r="F48" s="30">
        <v>225</v>
      </c>
      <c r="G48" s="24">
        <v>158</v>
      </c>
      <c r="H48" s="25">
        <v>139</v>
      </c>
      <c r="I48" s="26">
        <v>103</v>
      </c>
      <c r="J48" s="26">
        <v>109</v>
      </c>
      <c r="K48" s="26">
        <v>1484</v>
      </c>
    </row>
    <row r="49" spans="1:11" ht="14.25" customHeight="1" x14ac:dyDescent="0.35">
      <c r="A49" s="34"/>
      <c r="B49" s="35">
        <v>45846</v>
      </c>
      <c r="C49" s="36">
        <v>235</v>
      </c>
      <c r="D49" s="36">
        <v>273</v>
      </c>
      <c r="E49" s="37">
        <v>227</v>
      </c>
      <c r="F49" s="53">
        <v>207</v>
      </c>
      <c r="G49" s="37">
        <v>152</v>
      </c>
      <c r="H49" s="40">
        <v>135</v>
      </c>
      <c r="I49" s="37">
        <v>100</v>
      </c>
      <c r="J49" s="39">
        <v>101</v>
      </c>
      <c r="K49" s="37">
        <v>1471</v>
      </c>
    </row>
    <row r="50" spans="1:11" ht="14.25" customHeight="1" x14ac:dyDescent="0.3">
      <c r="A50" s="41" t="s">
        <v>21</v>
      </c>
      <c r="B50" s="28" t="s">
        <v>35</v>
      </c>
      <c r="C50" s="42"/>
      <c r="D50" s="47"/>
      <c r="E50" s="47"/>
      <c r="F50" s="48"/>
      <c r="G50" s="24">
        <v>5</v>
      </c>
      <c r="H50" s="25">
        <v>7</v>
      </c>
      <c r="I50" s="26">
        <v>2</v>
      </c>
      <c r="J50" s="26">
        <v>8</v>
      </c>
      <c r="K50" s="26">
        <v>85</v>
      </c>
    </row>
    <row r="51" spans="1:11" ht="14.25" customHeight="1" x14ac:dyDescent="0.3">
      <c r="A51" s="18"/>
      <c r="B51" s="28" t="s">
        <v>36</v>
      </c>
      <c r="C51" s="42"/>
      <c r="D51" s="47"/>
      <c r="E51" s="47"/>
      <c r="F51" s="30">
        <v>9</v>
      </c>
      <c r="G51" s="24">
        <v>3</v>
      </c>
      <c r="H51" s="25">
        <v>6</v>
      </c>
      <c r="I51" s="26">
        <v>2</v>
      </c>
      <c r="J51" s="26">
        <v>7</v>
      </c>
      <c r="K51" s="26">
        <v>85</v>
      </c>
    </row>
    <row r="52" spans="1:11" ht="14.25" customHeight="1" x14ac:dyDescent="0.3">
      <c r="A52" s="18"/>
      <c r="B52" s="28" t="s">
        <v>37</v>
      </c>
      <c r="C52" s="42"/>
      <c r="D52" s="46"/>
      <c r="E52" s="26">
        <v>4</v>
      </c>
      <c r="F52" s="30">
        <v>7</v>
      </c>
      <c r="G52" s="24">
        <v>3</v>
      </c>
      <c r="H52" s="25">
        <v>4</v>
      </c>
      <c r="I52" s="26">
        <v>2</v>
      </c>
      <c r="J52" s="26">
        <v>8</v>
      </c>
      <c r="K52" s="26">
        <v>84</v>
      </c>
    </row>
    <row r="53" spans="1:11" ht="14.25" customHeight="1" x14ac:dyDescent="0.3">
      <c r="A53" s="18"/>
      <c r="B53" s="28" t="s">
        <v>38</v>
      </c>
      <c r="C53" s="42"/>
      <c r="D53" s="26">
        <v>5</v>
      </c>
      <c r="E53" s="26">
        <v>1</v>
      </c>
      <c r="F53" s="30">
        <v>7</v>
      </c>
      <c r="G53" s="24">
        <v>3</v>
      </c>
      <c r="H53" s="25">
        <v>4</v>
      </c>
      <c r="I53" s="26">
        <v>2</v>
      </c>
      <c r="J53" s="26">
        <v>8</v>
      </c>
      <c r="K53" s="26">
        <v>84</v>
      </c>
    </row>
    <row r="54" spans="1:11" ht="14.25" customHeight="1" x14ac:dyDescent="0.35">
      <c r="A54" s="34"/>
      <c r="B54" s="35">
        <v>45846</v>
      </c>
      <c r="C54" s="36">
        <v>4</v>
      </c>
      <c r="D54" s="36">
        <v>1</v>
      </c>
      <c r="E54" s="37">
        <v>1</v>
      </c>
      <c r="F54" s="38">
        <v>6</v>
      </c>
      <c r="G54" s="37">
        <v>3</v>
      </c>
      <c r="H54" s="40">
        <v>4</v>
      </c>
      <c r="I54" s="37">
        <v>2</v>
      </c>
      <c r="J54" s="37">
        <v>8</v>
      </c>
      <c r="K54" s="37">
        <v>84</v>
      </c>
    </row>
    <row r="55" spans="1:11" ht="14.25" customHeight="1" x14ac:dyDescent="0.3">
      <c r="A55" s="41" t="s">
        <v>23</v>
      </c>
      <c r="B55" s="28" t="s">
        <v>35</v>
      </c>
      <c r="C55" s="20"/>
      <c r="D55" s="21"/>
      <c r="E55" s="21"/>
      <c r="F55" s="23"/>
      <c r="G55" s="24">
        <v>205</v>
      </c>
      <c r="H55" s="25">
        <v>188</v>
      </c>
      <c r="I55" s="26">
        <v>131</v>
      </c>
      <c r="J55" s="26">
        <v>110</v>
      </c>
      <c r="K55" s="26">
        <v>654</v>
      </c>
    </row>
    <row r="56" spans="1:11" ht="14.25" customHeight="1" x14ac:dyDescent="0.3">
      <c r="A56" s="18"/>
      <c r="B56" s="28" t="s">
        <v>36</v>
      </c>
      <c r="C56" s="20"/>
      <c r="D56" s="29"/>
      <c r="E56" s="29"/>
      <c r="F56" s="30">
        <v>213</v>
      </c>
      <c r="G56" s="24">
        <v>152</v>
      </c>
      <c r="H56" s="25">
        <v>176</v>
      </c>
      <c r="I56" s="26">
        <v>127</v>
      </c>
      <c r="J56" s="26">
        <v>108</v>
      </c>
      <c r="K56" s="26">
        <v>645</v>
      </c>
    </row>
    <row r="57" spans="1:11" ht="14.25" customHeight="1" x14ac:dyDescent="0.3">
      <c r="A57" s="18"/>
      <c r="B57" s="28" t="s">
        <v>37</v>
      </c>
      <c r="C57" s="20"/>
      <c r="D57" s="29"/>
      <c r="E57" s="26">
        <v>203</v>
      </c>
      <c r="F57" s="30">
        <v>115</v>
      </c>
      <c r="G57" s="24">
        <v>102</v>
      </c>
      <c r="H57" s="25">
        <v>126</v>
      </c>
      <c r="I57" s="26">
        <v>123</v>
      </c>
      <c r="J57" s="26">
        <v>98</v>
      </c>
      <c r="K57" s="26">
        <v>665</v>
      </c>
    </row>
    <row r="58" spans="1:11" ht="14.25" customHeight="1" x14ac:dyDescent="0.3">
      <c r="A58" s="18"/>
      <c r="B58" s="28" t="s">
        <v>38</v>
      </c>
      <c r="C58" s="20"/>
      <c r="D58" s="26">
        <v>293</v>
      </c>
      <c r="E58" s="26">
        <v>127</v>
      </c>
      <c r="F58" s="30">
        <v>102</v>
      </c>
      <c r="G58" s="24">
        <v>94</v>
      </c>
      <c r="H58" s="25">
        <v>119</v>
      </c>
      <c r="I58" s="26">
        <v>113</v>
      </c>
      <c r="J58" s="26">
        <v>94</v>
      </c>
      <c r="K58" s="26">
        <v>660</v>
      </c>
    </row>
    <row r="59" spans="1:11" ht="14.25" customHeight="1" x14ac:dyDescent="0.35">
      <c r="A59" s="34"/>
      <c r="B59" s="35">
        <v>45846</v>
      </c>
      <c r="C59" s="36">
        <v>163</v>
      </c>
      <c r="D59" s="36">
        <v>209</v>
      </c>
      <c r="E59" s="37">
        <v>118</v>
      </c>
      <c r="F59" s="38">
        <v>91</v>
      </c>
      <c r="G59" s="37">
        <v>89</v>
      </c>
      <c r="H59" s="40">
        <v>118</v>
      </c>
      <c r="I59" s="39">
        <v>109</v>
      </c>
      <c r="J59" s="37">
        <v>93</v>
      </c>
      <c r="K59" s="37">
        <v>656</v>
      </c>
    </row>
    <row r="60" spans="1:11" ht="14.25" customHeight="1" x14ac:dyDescent="0.3">
      <c r="A60" s="41" t="s">
        <v>24</v>
      </c>
      <c r="B60" s="28" t="s">
        <v>35</v>
      </c>
      <c r="C60" s="42"/>
      <c r="D60" s="46"/>
      <c r="E60" s="46"/>
      <c r="F60" s="51"/>
      <c r="G60" s="24">
        <v>185</v>
      </c>
      <c r="H60" s="25">
        <v>127</v>
      </c>
      <c r="I60" s="26">
        <v>60</v>
      </c>
      <c r="J60" s="26">
        <v>78</v>
      </c>
      <c r="K60" s="26">
        <v>1131</v>
      </c>
    </row>
    <row r="61" spans="1:11" ht="14.25" customHeight="1" x14ac:dyDescent="0.3">
      <c r="A61" s="18"/>
      <c r="B61" s="28" t="s">
        <v>36</v>
      </c>
      <c r="C61" s="42"/>
      <c r="D61" s="46"/>
      <c r="E61" s="46"/>
      <c r="F61" s="30">
        <v>189</v>
      </c>
      <c r="G61" s="24">
        <v>135</v>
      </c>
      <c r="H61" s="25">
        <v>119</v>
      </c>
      <c r="I61" s="26">
        <v>57</v>
      </c>
      <c r="J61" s="26">
        <v>77</v>
      </c>
      <c r="K61" s="26">
        <v>1126</v>
      </c>
    </row>
    <row r="62" spans="1:11" ht="14.25" customHeight="1" x14ac:dyDescent="0.3">
      <c r="A62" s="18"/>
      <c r="B62" s="28" t="s">
        <v>37</v>
      </c>
      <c r="C62" s="42"/>
      <c r="D62" s="47"/>
      <c r="E62" s="26">
        <v>161</v>
      </c>
      <c r="F62" s="30">
        <v>146</v>
      </c>
      <c r="G62" s="24">
        <v>117</v>
      </c>
      <c r="H62" s="25">
        <v>99</v>
      </c>
      <c r="I62" s="26">
        <v>57</v>
      </c>
      <c r="J62" s="26">
        <v>69</v>
      </c>
      <c r="K62" s="26">
        <v>1145</v>
      </c>
    </row>
    <row r="63" spans="1:11" ht="14.25" customHeight="1" x14ac:dyDescent="0.3">
      <c r="A63" s="18"/>
      <c r="B63" s="28" t="s">
        <v>38</v>
      </c>
      <c r="C63" s="42"/>
      <c r="D63" s="26">
        <v>144</v>
      </c>
      <c r="E63" s="26">
        <v>123</v>
      </c>
      <c r="F63" s="30">
        <v>131</v>
      </c>
      <c r="G63" s="24">
        <v>110</v>
      </c>
      <c r="H63" s="25">
        <v>95</v>
      </c>
      <c r="I63" s="26">
        <v>55</v>
      </c>
      <c r="J63" s="26">
        <v>67</v>
      </c>
      <c r="K63" s="26">
        <v>1148</v>
      </c>
    </row>
    <row r="64" spans="1:11" ht="14.25" customHeight="1" x14ac:dyDescent="0.35">
      <c r="A64" s="34"/>
      <c r="B64" s="35">
        <v>45846</v>
      </c>
      <c r="C64" s="36">
        <v>80</v>
      </c>
      <c r="D64" s="36">
        <v>118</v>
      </c>
      <c r="E64" s="37">
        <v>120</v>
      </c>
      <c r="F64" s="38">
        <v>128</v>
      </c>
      <c r="G64" s="37">
        <v>106</v>
      </c>
      <c r="H64" s="40">
        <v>95</v>
      </c>
      <c r="I64" s="37">
        <v>54</v>
      </c>
      <c r="J64" s="37">
        <v>67</v>
      </c>
      <c r="K64" s="37">
        <v>1148</v>
      </c>
    </row>
    <row r="65" spans="1:11" ht="14.25" customHeight="1" x14ac:dyDescent="0.3">
      <c r="A65" s="41" t="s">
        <v>25</v>
      </c>
      <c r="B65" s="28" t="s">
        <v>35</v>
      </c>
      <c r="C65" s="20"/>
      <c r="D65" s="29"/>
      <c r="E65" s="29"/>
      <c r="F65" s="52"/>
      <c r="G65" s="24">
        <v>45</v>
      </c>
      <c r="H65" s="25">
        <v>42</v>
      </c>
      <c r="I65" s="26">
        <v>30</v>
      </c>
      <c r="J65" s="26">
        <v>17</v>
      </c>
      <c r="K65" s="26">
        <v>449</v>
      </c>
    </row>
    <row r="66" spans="1:11" ht="14.25" customHeight="1" x14ac:dyDescent="0.3">
      <c r="A66" s="18"/>
      <c r="B66" s="28" t="s">
        <v>36</v>
      </c>
      <c r="C66" s="20"/>
      <c r="D66" s="29"/>
      <c r="E66" s="29"/>
      <c r="F66" s="30">
        <v>67</v>
      </c>
      <c r="G66" s="24">
        <v>32</v>
      </c>
      <c r="H66" s="25">
        <v>37</v>
      </c>
      <c r="I66" s="26">
        <v>28</v>
      </c>
      <c r="J66" s="26">
        <v>17</v>
      </c>
      <c r="K66" s="26">
        <v>441</v>
      </c>
    </row>
    <row r="67" spans="1:11" ht="14.25" customHeight="1" x14ac:dyDescent="0.3">
      <c r="A67" s="18"/>
      <c r="B67" s="28" t="s">
        <v>37</v>
      </c>
      <c r="C67" s="20"/>
      <c r="D67" s="21"/>
      <c r="E67" s="26">
        <v>84</v>
      </c>
      <c r="F67" s="30">
        <v>37</v>
      </c>
      <c r="G67" s="24">
        <v>28</v>
      </c>
      <c r="H67" s="25">
        <v>35</v>
      </c>
      <c r="I67" s="26">
        <v>26</v>
      </c>
      <c r="J67" s="26">
        <v>20</v>
      </c>
      <c r="K67" s="26">
        <v>444</v>
      </c>
    </row>
    <row r="68" spans="1:11" ht="14.25" customHeight="1" x14ac:dyDescent="0.3">
      <c r="A68" s="18"/>
      <c r="B68" s="28" t="s">
        <v>38</v>
      </c>
      <c r="C68" s="20"/>
      <c r="D68" s="26">
        <v>79</v>
      </c>
      <c r="E68" s="26">
        <v>52</v>
      </c>
      <c r="F68" s="30">
        <v>34</v>
      </c>
      <c r="G68" s="24">
        <v>27</v>
      </c>
      <c r="H68" s="25">
        <v>33</v>
      </c>
      <c r="I68" s="26">
        <v>25</v>
      </c>
      <c r="J68" s="26">
        <v>19</v>
      </c>
      <c r="K68" s="26">
        <v>441</v>
      </c>
    </row>
    <row r="69" spans="1:11" ht="14.25" customHeight="1" x14ac:dyDescent="0.35">
      <c r="A69" s="34"/>
      <c r="B69" s="35">
        <v>45846</v>
      </c>
      <c r="C69" s="36" t="str" cm="1">
        <f t="array" ref="C69">IFERROR(_xlfn.XLOOKUP($A65&amp;C$4, [1]!VBA_Version_KB[County]&amp;[1]!VBA_Version_KB[YearGroup], [1]!VBA_Version_KB[TotalCount]),"")</f>
        <v/>
      </c>
      <c r="D69" s="36" t="str" cm="1">
        <f t="array" ref="D69">IFERROR(_xlfn.XLOOKUP($A65&amp;D$4, [1]!VBA_Version_KB[County]&amp;[1]!VBA_Version_KB[YearGroup], [1]!VBA_Version_KB[TotalCount]),"")</f>
        <v/>
      </c>
      <c r="E69" s="37" t="str" cm="1">
        <f t="array" ref="E69">IFERROR(_xlfn.XLOOKUP($A65&amp;E$4, [1]!VBA_Version_KB[County]&amp;[1]!VBA_Version_KB[YearGroup], [1]!VBA_Version_KB[TotalCount]),"")</f>
        <v/>
      </c>
      <c r="F69" s="53">
        <v>34</v>
      </c>
      <c r="G69" s="37" t="str" cm="1">
        <f t="array" ref="G69">IFERROR(_xlfn.XLOOKUP($A65&amp;G$4, [1]!VBA_Version_KB[County]&amp;[1]!VBA_Version_KB[YearGroup], [1]!VBA_Version_KB[TotalCount]),"")</f>
        <v/>
      </c>
      <c r="H69" s="40" t="str" cm="1">
        <f t="array" ref="H69">IFERROR(_xlfn.XLOOKUP($A65&amp;H$4, [1]!VBA_Version_KB[County]&amp;[1]!VBA_Version_KB[YearGroup], [1]!VBA_Version_KB[TotalCount]),"")</f>
        <v/>
      </c>
      <c r="I69" s="39">
        <v>24</v>
      </c>
      <c r="J69" s="37" t="str" cm="1">
        <f t="array" ref="J69">IFERROR(_xlfn.XLOOKUP($A65&amp;J$4, [1]!VBA_Version_KB[County]&amp;[1]!VBA_Version_KB[YearGroup], [1]!VBA_Version_KB[TotalCount]),"")</f>
        <v/>
      </c>
      <c r="K69" s="37" t="str" cm="1">
        <f t="array" ref="K69">IFERROR(_xlfn.XLOOKUP($A65&amp;K$4, [1]!VBA_Version_KB[County]&amp;[1]!VBA_Version_KB[YearGroup], [1]!VBA_Version_KB[TotalCount]),"")</f>
        <v/>
      </c>
    </row>
    <row r="70" spans="1:11" ht="14.25" customHeight="1" x14ac:dyDescent="0.3">
      <c r="A70" s="41" t="s">
        <v>26</v>
      </c>
      <c r="B70" s="28" t="s">
        <v>35</v>
      </c>
      <c r="C70" s="42"/>
      <c r="D70" s="46"/>
      <c r="E70" s="46"/>
      <c r="F70" s="51"/>
      <c r="G70" s="24">
        <v>32</v>
      </c>
      <c r="H70" s="25">
        <v>22</v>
      </c>
      <c r="I70" s="26">
        <v>24</v>
      </c>
      <c r="J70" s="26">
        <v>18</v>
      </c>
      <c r="K70" s="26">
        <v>310</v>
      </c>
    </row>
    <row r="71" spans="1:11" ht="14.25" customHeight="1" x14ac:dyDescent="0.3">
      <c r="A71" s="18"/>
      <c r="B71" s="28" t="s">
        <v>36</v>
      </c>
      <c r="C71" s="42"/>
      <c r="D71" s="47"/>
      <c r="E71" s="47"/>
      <c r="F71" s="30">
        <v>21</v>
      </c>
      <c r="G71" s="24">
        <v>18</v>
      </c>
      <c r="H71" s="25">
        <v>19</v>
      </c>
      <c r="I71" s="26">
        <v>22</v>
      </c>
      <c r="J71" s="26">
        <v>18</v>
      </c>
      <c r="K71" s="26">
        <v>305</v>
      </c>
    </row>
    <row r="72" spans="1:11" ht="14.25" customHeight="1" x14ac:dyDescent="0.3">
      <c r="A72" s="18"/>
      <c r="B72" s="28" t="s">
        <v>37</v>
      </c>
      <c r="C72" s="42"/>
      <c r="D72" s="47"/>
      <c r="E72" s="26">
        <v>37</v>
      </c>
      <c r="F72" s="30">
        <v>15</v>
      </c>
      <c r="G72" s="24">
        <v>16</v>
      </c>
      <c r="H72" s="25">
        <v>19</v>
      </c>
      <c r="I72" s="26">
        <v>21</v>
      </c>
      <c r="J72" s="26">
        <v>17</v>
      </c>
      <c r="K72" s="26">
        <v>299</v>
      </c>
    </row>
    <row r="73" spans="1:11" ht="14.25" customHeight="1" x14ac:dyDescent="0.3">
      <c r="A73" s="18"/>
      <c r="B73" s="28" t="s">
        <v>38</v>
      </c>
      <c r="C73" s="42"/>
      <c r="D73" s="26">
        <v>28</v>
      </c>
      <c r="E73" s="26">
        <v>22</v>
      </c>
      <c r="F73" s="30">
        <v>11</v>
      </c>
      <c r="G73" s="24">
        <v>14</v>
      </c>
      <c r="H73" s="25">
        <v>19</v>
      </c>
      <c r="I73" s="26">
        <v>21</v>
      </c>
      <c r="J73" s="26">
        <v>17</v>
      </c>
      <c r="K73" s="26">
        <v>288</v>
      </c>
    </row>
    <row r="74" spans="1:11" ht="14.25" customHeight="1" x14ac:dyDescent="0.35">
      <c r="A74" s="34"/>
      <c r="B74" s="35">
        <v>45846</v>
      </c>
      <c r="C74" s="36">
        <v>19</v>
      </c>
      <c r="D74" s="36">
        <v>20</v>
      </c>
      <c r="E74" s="37">
        <v>22</v>
      </c>
      <c r="F74" s="38">
        <v>10</v>
      </c>
      <c r="G74" s="37">
        <v>14</v>
      </c>
      <c r="H74" s="40">
        <v>19</v>
      </c>
      <c r="I74" s="37">
        <v>19</v>
      </c>
      <c r="J74" s="37">
        <v>14</v>
      </c>
      <c r="K74" s="39">
        <v>262</v>
      </c>
    </row>
    <row r="75" spans="1:11" ht="14.25" customHeight="1" x14ac:dyDescent="0.3">
      <c r="A75" s="41" t="s">
        <v>27</v>
      </c>
      <c r="B75" s="28" t="s">
        <v>35</v>
      </c>
      <c r="C75" s="20"/>
      <c r="D75" s="29"/>
      <c r="E75" s="29"/>
      <c r="F75" s="52"/>
      <c r="G75" s="24">
        <v>73</v>
      </c>
      <c r="H75" s="25">
        <v>29</v>
      </c>
      <c r="I75" s="26">
        <v>48</v>
      </c>
      <c r="J75" s="26">
        <v>35</v>
      </c>
      <c r="K75" s="26">
        <v>358</v>
      </c>
    </row>
    <row r="76" spans="1:11" ht="14.25" customHeight="1" x14ac:dyDescent="0.3">
      <c r="A76" s="18"/>
      <c r="B76" s="28" t="s">
        <v>36</v>
      </c>
      <c r="C76" s="20"/>
      <c r="D76" s="21"/>
      <c r="E76" s="21"/>
      <c r="F76" s="30">
        <v>88</v>
      </c>
      <c r="G76" s="24">
        <v>47</v>
      </c>
      <c r="H76" s="25">
        <v>28</v>
      </c>
      <c r="I76" s="26">
        <v>44</v>
      </c>
      <c r="J76" s="26">
        <v>34</v>
      </c>
      <c r="K76" s="26">
        <v>354</v>
      </c>
    </row>
    <row r="77" spans="1:11" ht="14.25" customHeight="1" x14ac:dyDescent="0.3">
      <c r="A77" s="18"/>
      <c r="B77" s="28" t="s">
        <v>37</v>
      </c>
      <c r="C77" s="20"/>
      <c r="D77" s="29"/>
      <c r="E77" s="26">
        <v>49</v>
      </c>
      <c r="F77" s="30">
        <v>49</v>
      </c>
      <c r="G77" s="24">
        <v>40</v>
      </c>
      <c r="H77" s="25">
        <v>20</v>
      </c>
      <c r="I77" s="26">
        <v>36</v>
      </c>
      <c r="J77" s="26">
        <v>30</v>
      </c>
      <c r="K77" s="26">
        <v>364</v>
      </c>
    </row>
    <row r="78" spans="1:11" ht="14.25" customHeight="1" x14ac:dyDescent="0.3">
      <c r="A78" s="18"/>
      <c r="B78" s="28" t="s">
        <v>38</v>
      </c>
      <c r="C78" s="20"/>
      <c r="D78" s="26">
        <v>47</v>
      </c>
      <c r="E78" s="26">
        <v>30</v>
      </c>
      <c r="F78" s="30">
        <v>41</v>
      </c>
      <c r="G78" s="24">
        <v>37</v>
      </c>
      <c r="H78" s="25">
        <v>20</v>
      </c>
      <c r="I78" s="26">
        <v>33</v>
      </c>
      <c r="J78" s="26">
        <v>29</v>
      </c>
      <c r="K78" s="26">
        <v>363</v>
      </c>
    </row>
    <row r="79" spans="1:11" ht="14.25" customHeight="1" x14ac:dyDescent="0.35">
      <c r="A79" s="34"/>
      <c r="B79" s="35">
        <v>45846</v>
      </c>
      <c r="C79" s="36">
        <v>32</v>
      </c>
      <c r="D79" s="36">
        <v>36</v>
      </c>
      <c r="E79" s="37">
        <v>30</v>
      </c>
      <c r="F79" s="53">
        <v>40</v>
      </c>
      <c r="G79" s="37">
        <v>37</v>
      </c>
      <c r="H79" s="40">
        <v>20</v>
      </c>
      <c r="I79" s="37">
        <v>32</v>
      </c>
      <c r="J79" s="37">
        <v>29</v>
      </c>
      <c r="K79" s="37">
        <v>363</v>
      </c>
    </row>
    <row r="80" spans="1:11" ht="14.25" customHeight="1" x14ac:dyDescent="0.3">
      <c r="A80" s="41" t="s">
        <v>28</v>
      </c>
      <c r="B80" s="28" t="s">
        <v>35</v>
      </c>
      <c r="C80" s="42"/>
      <c r="D80" s="46"/>
      <c r="E80" s="46"/>
      <c r="F80" s="51"/>
      <c r="G80" s="24">
        <v>275</v>
      </c>
      <c r="H80" s="25">
        <v>230</v>
      </c>
      <c r="I80" s="26">
        <v>209</v>
      </c>
      <c r="J80" s="26">
        <v>170</v>
      </c>
      <c r="K80" s="26">
        <v>1445</v>
      </c>
    </row>
    <row r="81" spans="1:11" ht="14.25" customHeight="1" x14ac:dyDescent="0.3">
      <c r="A81" s="18"/>
      <c r="B81" s="28" t="s">
        <v>36</v>
      </c>
      <c r="C81" s="42"/>
      <c r="D81" s="47"/>
      <c r="E81" s="47"/>
      <c r="F81" s="30">
        <v>340</v>
      </c>
      <c r="G81" s="24">
        <v>224</v>
      </c>
      <c r="H81" s="25">
        <v>213</v>
      </c>
      <c r="I81" s="26">
        <v>198</v>
      </c>
      <c r="J81" s="26">
        <v>167</v>
      </c>
      <c r="K81" s="26">
        <v>1429</v>
      </c>
    </row>
    <row r="82" spans="1:11" ht="14.25" customHeight="1" x14ac:dyDescent="0.3">
      <c r="A82" s="18"/>
      <c r="B82" s="28" t="s">
        <v>37</v>
      </c>
      <c r="C82" s="42"/>
      <c r="D82" s="46"/>
      <c r="E82" s="26">
        <v>379</v>
      </c>
      <c r="F82" s="30">
        <v>205</v>
      </c>
      <c r="G82" s="24">
        <v>169</v>
      </c>
      <c r="H82" s="25">
        <v>154</v>
      </c>
      <c r="I82" s="26">
        <v>180</v>
      </c>
      <c r="J82" s="26">
        <v>146</v>
      </c>
      <c r="K82" s="26">
        <v>1418</v>
      </c>
    </row>
    <row r="83" spans="1:11" ht="14.25" customHeight="1" x14ac:dyDescent="0.3">
      <c r="A83" s="18"/>
      <c r="B83" s="28" t="s">
        <v>38</v>
      </c>
      <c r="C83" s="42"/>
      <c r="D83" s="26">
        <v>374</v>
      </c>
      <c r="E83" s="26">
        <v>294</v>
      </c>
      <c r="F83" s="30">
        <v>188</v>
      </c>
      <c r="G83" s="24">
        <v>164</v>
      </c>
      <c r="H83" s="25">
        <v>149</v>
      </c>
      <c r="I83" s="26">
        <v>171</v>
      </c>
      <c r="J83" s="26">
        <v>144</v>
      </c>
      <c r="K83" s="26">
        <v>1414</v>
      </c>
    </row>
    <row r="84" spans="1:11" ht="14.25" customHeight="1" x14ac:dyDescent="0.35">
      <c r="A84" s="34"/>
      <c r="B84" s="35">
        <v>45846</v>
      </c>
      <c r="C84" s="36">
        <v>201</v>
      </c>
      <c r="D84" s="36">
        <v>299</v>
      </c>
      <c r="E84" s="37">
        <v>284</v>
      </c>
      <c r="F84" s="53">
        <v>182</v>
      </c>
      <c r="G84" s="37">
        <v>160</v>
      </c>
      <c r="H84" s="40">
        <v>145</v>
      </c>
      <c r="I84" s="37">
        <v>171</v>
      </c>
      <c r="J84" s="37">
        <v>142</v>
      </c>
      <c r="K84" s="37">
        <v>1410</v>
      </c>
    </row>
    <row r="85" spans="1:11" ht="14.25" customHeight="1" x14ac:dyDescent="0.3">
      <c r="A85" s="41" t="s">
        <v>29</v>
      </c>
      <c r="B85" s="28" t="s">
        <v>35</v>
      </c>
      <c r="C85" s="20"/>
      <c r="D85" s="29"/>
      <c r="E85" s="29"/>
      <c r="F85" s="52"/>
      <c r="G85" s="24">
        <v>14</v>
      </c>
      <c r="H85" s="25">
        <v>23</v>
      </c>
      <c r="I85" s="26">
        <v>8</v>
      </c>
      <c r="J85" s="26">
        <v>3</v>
      </c>
      <c r="K85" s="26">
        <v>83</v>
      </c>
    </row>
    <row r="86" spans="1:11" ht="14.25" customHeight="1" x14ac:dyDescent="0.3">
      <c r="A86" s="18"/>
      <c r="B86" s="28" t="s">
        <v>36</v>
      </c>
      <c r="C86" s="20"/>
      <c r="D86" s="21"/>
      <c r="E86" s="21"/>
      <c r="F86" s="30">
        <v>40</v>
      </c>
      <c r="G86" s="24">
        <v>7</v>
      </c>
      <c r="H86" s="25">
        <v>20</v>
      </c>
      <c r="I86" s="26">
        <v>8</v>
      </c>
      <c r="J86" s="26">
        <v>3</v>
      </c>
      <c r="K86" s="26">
        <v>83</v>
      </c>
    </row>
    <row r="87" spans="1:11" ht="14.25" customHeight="1" x14ac:dyDescent="0.3">
      <c r="A87" s="18"/>
      <c r="B87" s="28" t="s">
        <v>37</v>
      </c>
      <c r="C87" s="20"/>
      <c r="D87" s="29"/>
      <c r="E87" s="26">
        <v>28</v>
      </c>
      <c r="F87" s="30">
        <v>30</v>
      </c>
      <c r="G87" s="24">
        <v>7</v>
      </c>
      <c r="H87" s="25">
        <v>14</v>
      </c>
      <c r="I87" s="26">
        <v>9</v>
      </c>
      <c r="J87" s="26">
        <v>3</v>
      </c>
      <c r="K87" s="26">
        <v>83</v>
      </c>
    </row>
    <row r="88" spans="1:11" ht="14.25" customHeight="1" x14ac:dyDescent="0.3">
      <c r="A88" s="18"/>
      <c r="B88" s="28" t="s">
        <v>38</v>
      </c>
      <c r="C88" s="20"/>
      <c r="D88" s="26">
        <v>23</v>
      </c>
      <c r="E88" s="26">
        <v>16</v>
      </c>
      <c r="F88" s="30">
        <v>24</v>
      </c>
      <c r="G88" s="24">
        <v>6</v>
      </c>
      <c r="H88" s="25">
        <v>12</v>
      </c>
      <c r="I88" s="26">
        <v>9</v>
      </c>
      <c r="J88" s="26">
        <v>3</v>
      </c>
      <c r="K88" s="26">
        <v>83</v>
      </c>
    </row>
    <row r="89" spans="1:11" ht="14.25" customHeight="1" x14ac:dyDescent="0.35">
      <c r="A89" s="34"/>
      <c r="B89" s="35">
        <v>45846</v>
      </c>
      <c r="C89" s="36">
        <v>20</v>
      </c>
      <c r="D89" s="36">
        <v>18</v>
      </c>
      <c r="E89" s="37">
        <v>16</v>
      </c>
      <c r="F89" s="38">
        <v>24</v>
      </c>
      <c r="G89" s="37">
        <v>6</v>
      </c>
      <c r="H89" s="40">
        <v>11</v>
      </c>
      <c r="I89" s="37">
        <v>8</v>
      </c>
      <c r="J89" s="37">
        <v>3</v>
      </c>
      <c r="K89" s="37">
        <v>82</v>
      </c>
    </row>
    <row r="90" spans="1:11" ht="14.25" customHeight="1" x14ac:dyDescent="0.3">
      <c r="A90" s="41" t="s">
        <v>30</v>
      </c>
      <c r="B90" s="28" t="s">
        <v>35</v>
      </c>
      <c r="C90" s="42"/>
      <c r="D90" s="47"/>
      <c r="E90" s="47"/>
      <c r="F90" s="48"/>
      <c r="G90" s="24">
        <v>32</v>
      </c>
      <c r="H90" s="25">
        <v>22</v>
      </c>
      <c r="I90" s="26">
        <v>20</v>
      </c>
      <c r="J90" s="26">
        <v>15</v>
      </c>
      <c r="K90" s="26">
        <v>234</v>
      </c>
    </row>
    <row r="91" spans="1:11" ht="14.25" customHeight="1" x14ac:dyDescent="0.3">
      <c r="A91" s="18"/>
      <c r="B91" s="28" t="s">
        <v>36</v>
      </c>
      <c r="C91" s="42"/>
      <c r="D91" s="47"/>
      <c r="E91" s="47"/>
      <c r="F91" s="30">
        <v>32</v>
      </c>
      <c r="G91" s="24">
        <v>28</v>
      </c>
      <c r="H91" s="25">
        <v>20</v>
      </c>
      <c r="I91" s="26">
        <v>19</v>
      </c>
      <c r="J91" s="26">
        <v>14</v>
      </c>
      <c r="K91" s="26">
        <v>233</v>
      </c>
    </row>
    <row r="92" spans="1:11" ht="14.25" customHeight="1" x14ac:dyDescent="0.3">
      <c r="A92" s="18"/>
      <c r="B92" s="28" t="s">
        <v>37</v>
      </c>
      <c r="C92" s="42"/>
      <c r="D92" s="46"/>
      <c r="E92" s="26">
        <v>31</v>
      </c>
      <c r="F92" s="30">
        <v>24</v>
      </c>
      <c r="G92" s="24">
        <v>29</v>
      </c>
      <c r="H92" s="25">
        <v>17</v>
      </c>
      <c r="I92" s="26">
        <v>18</v>
      </c>
      <c r="J92" s="26">
        <v>14</v>
      </c>
      <c r="K92" s="26">
        <v>232</v>
      </c>
    </row>
    <row r="93" spans="1:11" ht="14.25" customHeight="1" x14ac:dyDescent="0.3">
      <c r="A93" s="18"/>
      <c r="B93" s="28" t="s">
        <v>38</v>
      </c>
      <c r="C93" s="42"/>
      <c r="D93" s="26">
        <v>48</v>
      </c>
      <c r="E93" s="26">
        <v>25</v>
      </c>
      <c r="F93" s="30">
        <v>22</v>
      </c>
      <c r="G93" s="24">
        <v>28</v>
      </c>
      <c r="H93" s="25">
        <v>16</v>
      </c>
      <c r="I93" s="26">
        <v>18</v>
      </c>
      <c r="J93" s="26">
        <v>14</v>
      </c>
      <c r="K93" s="26">
        <v>232</v>
      </c>
    </row>
    <row r="94" spans="1:11" ht="14.25" customHeight="1" x14ac:dyDescent="0.35">
      <c r="A94" s="34"/>
      <c r="B94" s="35">
        <v>45846</v>
      </c>
      <c r="C94" s="36">
        <v>35</v>
      </c>
      <c r="D94" s="36">
        <v>42</v>
      </c>
      <c r="E94" s="37">
        <v>22</v>
      </c>
      <c r="F94" s="53">
        <v>22</v>
      </c>
      <c r="G94" s="37">
        <v>28</v>
      </c>
      <c r="H94" s="40">
        <v>16</v>
      </c>
      <c r="I94" s="37">
        <v>18</v>
      </c>
      <c r="J94" s="37">
        <v>13</v>
      </c>
      <c r="K94" s="37">
        <v>232</v>
      </c>
    </row>
    <row r="95" spans="1:11" ht="14.25" customHeight="1" x14ac:dyDescent="0.3">
      <c r="A95" s="41" t="s">
        <v>31</v>
      </c>
      <c r="B95" s="28" t="s">
        <v>35</v>
      </c>
      <c r="C95" s="20"/>
      <c r="D95" s="21"/>
      <c r="E95" s="21"/>
      <c r="F95" s="23"/>
      <c r="G95" s="24">
        <v>6</v>
      </c>
      <c r="H95" s="25">
        <v>6</v>
      </c>
      <c r="I95" s="26">
        <v>5</v>
      </c>
      <c r="J95" s="26">
        <v>1</v>
      </c>
      <c r="K95" s="26">
        <v>67</v>
      </c>
    </row>
    <row r="96" spans="1:11" ht="14.25" customHeight="1" x14ac:dyDescent="0.3">
      <c r="A96" s="18"/>
      <c r="B96" s="28" t="s">
        <v>36</v>
      </c>
      <c r="C96" s="20"/>
      <c r="D96" s="29"/>
      <c r="E96" s="29"/>
      <c r="F96" s="30">
        <v>7</v>
      </c>
      <c r="G96" s="24">
        <v>5</v>
      </c>
      <c r="H96" s="25">
        <v>6</v>
      </c>
      <c r="I96" s="26">
        <v>5</v>
      </c>
      <c r="J96" s="26">
        <v>1</v>
      </c>
      <c r="K96" s="26">
        <v>67</v>
      </c>
    </row>
    <row r="97" spans="1:11" ht="14.25" customHeight="1" x14ac:dyDescent="0.3">
      <c r="A97" s="18"/>
      <c r="B97" s="28" t="s">
        <v>37</v>
      </c>
      <c r="C97" s="20"/>
      <c r="D97" s="29"/>
      <c r="E97" s="26">
        <v>4</v>
      </c>
      <c r="F97" s="30">
        <v>3</v>
      </c>
      <c r="G97" s="24">
        <v>5</v>
      </c>
      <c r="H97" s="25">
        <v>6</v>
      </c>
      <c r="I97" s="26">
        <v>4</v>
      </c>
      <c r="J97" s="26">
        <v>1</v>
      </c>
      <c r="K97" s="26">
        <v>66</v>
      </c>
    </row>
    <row r="98" spans="1:11" ht="14.25" customHeight="1" x14ac:dyDescent="0.3">
      <c r="A98" s="18"/>
      <c r="B98" s="28" t="s">
        <v>38</v>
      </c>
      <c r="C98" s="20"/>
      <c r="D98" s="26">
        <v>8</v>
      </c>
      <c r="E98" s="26">
        <v>1</v>
      </c>
      <c r="F98" s="30">
        <v>3</v>
      </c>
      <c r="G98" s="24">
        <v>4</v>
      </c>
      <c r="H98" s="25">
        <v>6</v>
      </c>
      <c r="I98" s="26">
        <v>4</v>
      </c>
      <c r="J98" s="26">
        <v>1</v>
      </c>
      <c r="K98" s="26">
        <v>63</v>
      </c>
    </row>
    <row r="99" spans="1:11" ht="14.25" customHeight="1" x14ac:dyDescent="0.35">
      <c r="A99" s="34"/>
      <c r="B99" s="35">
        <v>45846</v>
      </c>
      <c r="C99" s="36">
        <v>11</v>
      </c>
      <c r="D99" s="36">
        <v>6</v>
      </c>
      <c r="E99" s="37">
        <v>1</v>
      </c>
      <c r="F99" s="38">
        <v>3</v>
      </c>
      <c r="G99" s="37">
        <v>4</v>
      </c>
      <c r="H99" s="40">
        <v>6</v>
      </c>
      <c r="I99" s="37">
        <v>4</v>
      </c>
      <c r="J99" s="37">
        <v>1</v>
      </c>
      <c r="K99" s="37">
        <v>61</v>
      </c>
    </row>
    <row r="100" spans="1:11" ht="14.25" customHeight="1" x14ac:dyDescent="0.3">
      <c r="A100" s="41" t="s">
        <v>32</v>
      </c>
      <c r="B100" s="28" t="s">
        <v>35</v>
      </c>
      <c r="C100" s="42"/>
      <c r="D100" s="47"/>
      <c r="E100" s="47"/>
      <c r="F100" s="48"/>
      <c r="G100" s="24">
        <v>174</v>
      </c>
      <c r="H100" s="25">
        <v>113</v>
      </c>
      <c r="I100" s="26">
        <v>83</v>
      </c>
      <c r="J100" s="26">
        <v>74</v>
      </c>
      <c r="K100" s="26">
        <v>1024</v>
      </c>
    </row>
    <row r="101" spans="1:11" ht="14.25" customHeight="1" x14ac:dyDescent="0.3">
      <c r="A101" s="18"/>
      <c r="B101" s="28" t="s">
        <v>36</v>
      </c>
      <c r="C101" s="42"/>
      <c r="D101" s="46"/>
      <c r="E101" s="46"/>
      <c r="F101" s="30">
        <v>148</v>
      </c>
      <c r="G101" s="24">
        <v>117</v>
      </c>
      <c r="H101" s="25">
        <v>102</v>
      </c>
      <c r="I101" s="26">
        <v>76</v>
      </c>
      <c r="J101" s="26">
        <v>72</v>
      </c>
      <c r="K101" s="26">
        <v>1013</v>
      </c>
    </row>
    <row r="102" spans="1:11" ht="14.25" customHeight="1" x14ac:dyDescent="0.3">
      <c r="A102" s="18"/>
      <c r="B102" s="28" t="s">
        <v>37</v>
      </c>
      <c r="C102" s="42"/>
      <c r="D102" s="47"/>
      <c r="E102" s="26">
        <v>171</v>
      </c>
      <c r="F102" s="30">
        <v>84</v>
      </c>
      <c r="G102" s="24">
        <v>100</v>
      </c>
      <c r="H102" s="25">
        <v>83</v>
      </c>
      <c r="I102" s="26">
        <v>65</v>
      </c>
      <c r="J102" s="26">
        <v>67</v>
      </c>
      <c r="K102" s="26">
        <v>1013</v>
      </c>
    </row>
    <row r="103" spans="1:11" ht="14.25" customHeight="1" x14ac:dyDescent="0.3">
      <c r="A103" s="18"/>
      <c r="B103" s="28" t="s">
        <v>38</v>
      </c>
      <c r="C103" s="42"/>
      <c r="D103" s="26">
        <v>191</v>
      </c>
      <c r="E103" s="26">
        <v>127</v>
      </c>
      <c r="F103" s="30">
        <v>79</v>
      </c>
      <c r="G103" s="24">
        <v>95</v>
      </c>
      <c r="H103" s="25">
        <v>79</v>
      </c>
      <c r="I103" s="26">
        <v>63</v>
      </c>
      <c r="J103" s="26">
        <v>64</v>
      </c>
      <c r="K103" s="26">
        <v>1010</v>
      </c>
    </row>
    <row r="104" spans="1:11" ht="14.25" customHeight="1" x14ac:dyDescent="0.35">
      <c r="A104" s="34"/>
      <c r="B104" s="35">
        <v>45846</v>
      </c>
      <c r="C104" s="36">
        <v>115</v>
      </c>
      <c r="D104" s="36">
        <v>152</v>
      </c>
      <c r="E104" s="37">
        <v>123</v>
      </c>
      <c r="F104" s="38">
        <v>76</v>
      </c>
      <c r="G104" s="37">
        <v>92</v>
      </c>
      <c r="H104" s="40">
        <v>77</v>
      </c>
      <c r="I104" s="37">
        <v>63</v>
      </c>
      <c r="J104" s="37">
        <v>64</v>
      </c>
      <c r="K104" s="37">
        <v>1006</v>
      </c>
    </row>
    <row r="105" spans="1:11" ht="14.25" customHeight="1" x14ac:dyDescent="0.3">
      <c r="A105" s="41" t="s">
        <v>33</v>
      </c>
      <c r="B105" s="28" t="s">
        <v>35</v>
      </c>
      <c r="C105" s="20"/>
      <c r="D105" s="21"/>
      <c r="E105" s="21"/>
      <c r="F105" s="23"/>
      <c r="G105" s="24">
        <v>14</v>
      </c>
      <c r="H105" s="25">
        <v>7</v>
      </c>
      <c r="I105" s="26">
        <v>1</v>
      </c>
      <c r="J105" s="26">
        <v>5</v>
      </c>
      <c r="K105" s="26">
        <v>112</v>
      </c>
    </row>
    <row r="106" spans="1:11" ht="14.25" customHeight="1" x14ac:dyDescent="0.3">
      <c r="A106" s="18"/>
      <c r="B106" s="28" t="s">
        <v>36</v>
      </c>
      <c r="C106" s="20"/>
      <c r="D106" s="29"/>
      <c r="E106" s="29"/>
      <c r="F106" s="30">
        <v>22</v>
      </c>
      <c r="G106" s="24">
        <v>10</v>
      </c>
      <c r="H106" s="25">
        <v>6</v>
      </c>
      <c r="I106" s="26">
        <v>1</v>
      </c>
      <c r="J106" s="26">
        <v>5</v>
      </c>
      <c r="K106" s="26">
        <v>187</v>
      </c>
    </row>
    <row r="107" spans="1:11" ht="14.25" customHeight="1" x14ac:dyDescent="0.3">
      <c r="A107" s="18"/>
      <c r="B107" s="28" t="s">
        <v>37</v>
      </c>
      <c r="C107" s="20"/>
      <c r="D107" s="29"/>
      <c r="E107" s="26">
        <v>11</v>
      </c>
      <c r="F107" s="30">
        <v>13</v>
      </c>
      <c r="G107" s="24">
        <v>8</v>
      </c>
      <c r="H107" s="25">
        <v>5</v>
      </c>
      <c r="I107" s="26">
        <v>1</v>
      </c>
      <c r="J107" s="26">
        <v>5</v>
      </c>
      <c r="K107" s="26">
        <v>112</v>
      </c>
    </row>
    <row r="108" spans="1:11" ht="14.25" customHeight="1" x14ac:dyDescent="0.3">
      <c r="A108" s="18"/>
      <c r="B108" s="28" t="s">
        <v>38</v>
      </c>
      <c r="C108" s="20"/>
      <c r="D108" s="26">
        <v>13</v>
      </c>
      <c r="E108" s="26">
        <v>7</v>
      </c>
      <c r="F108" s="30">
        <v>13</v>
      </c>
      <c r="G108" s="24">
        <v>7</v>
      </c>
      <c r="H108" s="25">
        <v>5</v>
      </c>
      <c r="I108" s="26">
        <v>1</v>
      </c>
      <c r="J108" s="26">
        <v>5</v>
      </c>
      <c r="K108" s="26">
        <v>112</v>
      </c>
    </row>
    <row r="109" spans="1:11" ht="14.25" customHeight="1" x14ac:dyDescent="0.35">
      <c r="A109" s="18"/>
      <c r="B109" s="35">
        <v>45846</v>
      </c>
      <c r="C109" s="36">
        <v>16</v>
      </c>
      <c r="D109" s="36">
        <v>11</v>
      </c>
      <c r="E109" s="37">
        <v>7</v>
      </c>
      <c r="F109" s="38">
        <v>12</v>
      </c>
      <c r="G109" s="37">
        <v>7</v>
      </c>
      <c r="H109" s="40">
        <v>5</v>
      </c>
      <c r="I109" s="37">
        <v>1</v>
      </c>
      <c r="J109" s="37">
        <v>5</v>
      </c>
      <c r="K109" s="37">
        <v>112</v>
      </c>
    </row>
    <row r="110" spans="1:11" ht="14.25" customHeight="1" x14ac:dyDescent="0.3">
      <c r="A110" s="54" t="s">
        <v>39</v>
      </c>
      <c r="B110" s="55" t="s">
        <v>35</v>
      </c>
      <c r="C110" s="42"/>
      <c r="D110" s="47"/>
      <c r="E110" s="47"/>
      <c r="F110" s="48"/>
      <c r="G110" s="24">
        <v>2939</v>
      </c>
      <c r="H110" s="25">
        <v>1863</v>
      </c>
      <c r="I110" s="26">
        <v>1336</v>
      </c>
      <c r="J110" s="26">
        <v>1140</v>
      </c>
      <c r="K110" s="26">
        <v>13402</v>
      </c>
    </row>
    <row r="111" spans="1:11" ht="14.25" customHeight="1" x14ac:dyDescent="0.3">
      <c r="A111" s="54"/>
      <c r="B111" s="55" t="s">
        <v>36</v>
      </c>
      <c r="C111" s="42"/>
      <c r="D111" s="47"/>
      <c r="E111" s="47"/>
      <c r="F111" s="30">
        <v>3040</v>
      </c>
      <c r="G111" s="24">
        <v>2162</v>
      </c>
      <c r="H111" s="25">
        <v>1683</v>
      </c>
      <c r="I111" s="26">
        <v>1272</v>
      </c>
      <c r="J111" s="26">
        <v>1101</v>
      </c>
      <c r="K111" s="26">
        <v>13348</v>
      </c>
    </row>
    <row r="112" spans="1:11" ht="14.25" customHeight="1" x14ac:dyDescent="0.3">
      <c r="A112" s="54"/>
      <c r="B112" s="55" t="s">
        <v>37</v>
      </c>
      <c r="C112" s="42"/>
      <c r="D112" s="46"/>
      <c r="E112" s="26">
        <v>3141</v>
      </c>
      <c r="F112" s="30">
        <v>2042</v>
      </c>
      <c r="G112" s="24">
        <v>1850</v>
      </c>
      <c r="H112" s="25">
        <v>1350</v>
      </c>
      <c r="I112" s="26">
        <v>1199</v>
      </c>
      <c r="J112" s="26">
        <v>1050</v>
      </c>
      <c r="K112" s="26">
        <v>13252</v>
      </c>
    </row>
    <row r="113" spans="1:11" ht="14.25" customHeight="1" x14ac:dyDescent="0.3">
      <c r="A113" s="54"/>
      <c r="B113" s="56" t="s">
        <v>38</v>
      </c>
      <c r="C113" s="57"/>
      <c r="D113" s="31">
        <v>3238</v>
      </c>
      <c r="E113" s="31">
        <v>2193</v>
      </c>
      <c r="F113" s="32">
        <v>1836</v>
      </c>
      <c r="G113" s="24">
        <v>1726</v>
      </c>
      <c r="H113" s="33">
        <v>1283</v>
      </c>
      <c r="I113" s="31">
        <v>1134</v>
      </c>
      <c r="J113" s="31">
        <v>1013</v>
      </c>
      <c r="K113" s="31">
        <v>13135</v>
      </c>
    </row>
    <row r="114" spans="1:11" ht="14.25" customHeight="1" x14ac:dyDescent="0.35">
      <c r="A114" s="54"/>
      <c r="B114" s="58">
        <v>45846</v>
      </c>
      <c r="C114" s="36">
        <v>1859</v>
      </c>
      <c r="D114" s="36">
        <v>2446</v>
      </c>
      <c r="E114" s="59">
        <v>2089</v>
      </c>
      <c r="F114" s="59">
        <v>1755</v>
      </c>
      <c r="G114" s="60">
        <v>1680</v>
      </c>
      <c r="H114" s="61">
        <v>1259</v>
      </c>
      <c r="I114" s="59">
        <v>1112</v>
      </c>
      <c r="J114" s="59">
        <v>994</v>
      </c>
      <c r="K114" s="39">
        <v>13038</v>
      </c>
    </row>
    <row r="115" spans="1:11" ht="28" customHeight="1" x14ac:dyDescent="0.35">
      <c r="A115" s="62" t="s">
        <v>40</v>
      </c>
      <c r="B115" s="62"/>
      <c r="C115" s="62"/>
      <c r="D115" s="62"/>
      <c r="E115" s="62"/>
      <c r="F115" s="62"/>
      <c r="G115" s="62"/>
      <c r="H115" s="62"/>
      <c r="I115" s="62"/>
      <c r="J115" s="62"/>
      <c r="K115" s="62"/>
    </row>
  </sheetData>
  <mergeCells count="26">
    <mergeCell ref="A110:A114"/>
    <mergeCell ref="A115:K115"/>
    <mergeCell ref="A80:A84"/>
    <mergeCell ref="A85:A89"/>
    <mergeCell ref="A90:A94"/>
    <mergeCell ref="A95:A99"/>
    <mergeCell ref="A100:A104"/>
    <mergeCell ref="A105:A109"/>
    <mergeCell ref="A50:A54"/>
    <mergeCell ref="A55:A59"/>
    <mergeCell ref="A60:A64"/>
    <mergeCell ref="A65:A69"/>
    <mergeCell ref="A70:A74"/>
    <mergeCell ref="A75:A79"/>
    <mergeCell ref="A20:A24"/>
    <mergeCell ref="A25:A29"/>
    <mergeCell ref="A30:A34"/>
    <mergeCell ref="A35:A39"/>
    <mergeCell ref="A40:A44"/>
    <mergeCell ref="A45:A49"/>
    <mergeCell ref="A1:K1"/>
    <mergeCell ref="A3:K3"/>
    <mergeCell ref="A4:B4"/>
    <mergeCell ref="A5:A9"/>
    <mergeCell ref="A10:A14"/>
    <mergeCell ref="A15:A19"/>
  </mergeCell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F5375-B40A-4FFA-948E-FF4EA3994FEC}">
  <dimension ref="A1:C110"/>
  <sheetViews>
    <sheetView topLeftCell="A67" workbookViewId="0"/>
  </sheetViews>
  <sheetFormatPr defaultRowHeight="15.5" x14ac:dyDescent="0.35"/>
  <cols>
    <col min="1" max="1" width="11.07421875" bestFit="1" customWidth="1"/>
    <col min="2" max="2" width="12.4609375" bestFit="1" customWidth="1"/>
    <col min="3" max="3" width="12.765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t="s">
        <v>4</v>
      </c>
      <c r="C2">
        <v>7</v>
      </c>
    </row>
    <row r="3" spans="1:3" x14ac:dyDescent="0.35">
      <c r="A3" s="1" t="s">
        <v>3</v>
      </c>
      <c r="B3" t="s">
        <v>5</v>
      </c>
      <c r="C3">
        <v>42</v>
      </c>
    </row>
    <row r="4" spans="1:3" x14ac:dyDescent="0.35">
      <c r="A4" s="1" t="s">
        <v>3</v>
      </c>
      <c r="B4" t="s">
        <v>6</v>
      </c>
      <c r="C4">
        <v>27</v>
      </c>
    </row>
    <row r="5" spans="1:3" x14ac:dyDescent="0.35">
      <c r="A5" s="1" t="s">
        <v>3</v>
      </c>
      <c r="B5" t="s">
        <v>7</v>
      </c>
      <c r="C5">
        <v>1</v>
      </c>
    </row>
    <row r="6" spans="1:3" x14ac:dyDescent="0.35">
      <c r="A6" s="1" t="s">
        <v>3</v>
      </c>
      <c r="B6" t="s">
        <v>8</v>
      </c>
      <c r="C6">
        <v>2</v>
      </c>
    </row>
    <row r="7" spans="1:3" x14ac:dyDescent="0.35">
      <c r="A7" s="1" t="s">
        <v>9</v>
      </c>
      <c r="B7" t="s">
        <v>5</v>
      </c>
      <c r="C7">
        <v>22</v>
      </c>
    </row>
    <row r="8" spans="1:3" x14ac:dyDescent="0.35">
      <c r="A8" s="1" t="s">
        <v>9</v>
      </c>
      <c r="B8" t="s">
        <v>6</v>
      </c>
      <c r="C8">
        <v>5</v>
      </c>
    </row>
    <row r="9" spans="1:3" x14ac:dyDescent="0.35">
      <c r="A9" s="1" t="s">
        <v>9</v>
      </c>
      <c r="B9" t="s">
        <v>7</v>
      </c>
      <c r="C9">
        <v>1</v>
      </c>
    </row>
    <row r="10" spans="1:3" x14ac:dyDescent="0.35">
      <c r="A10" s="1" t="s">
        <v>9</v>
      </c>
      <c r="B10" t="s">
        <v>10</v>
      </c>
      <c r="C10">
        <v>2</v>
      </c>
    </row>
    <row r="11" spans="1:3" x14ac:dyDescent="0.35">
      <c r="A11" s="1" t="s">
        <v>9</v>
      </c>
      <c r="B11" t="s">
        <v>11</v>
      </c>
      <c r="C11">
        <v>1</v>
      </c>
    </row>
    <row r="12" spans="1:3" x14ac:dyDescent="0.35">
      <c r="A12" s="1" t="s">
        <v>12</v>
      </c>
      <c r="B12" t="s">
        <v>5</v>
      </c>
      <c r="C12">
        <v>7</v>
      </c>
    </row>
    <row r="13" spans="1:3" x14ac:dyDescent="0.35">
      <c r="A13" s="1" t="s">
        <v>12</v>
      </c>
      <c r="B13" t="s">
        <v>6</v>
      </c>
      <c r="C13">
        <v>4</v>
      </c>
    </row>
    <row r="14" spans="1:3" x14ac:dyDescent="0.35">
      <c r="A14" s="1" t="s">
        <v>12</v>
      </c>
      <c r="B14" t="s">
        <v>13</v>
      </c>
      <c r="C14">
        <v>1</v>
      </c>
    </row>
    <row r="15" spans="1:3" x14ac:dyDescent="0.35">
      <c r="A15" s="1" t="s">
        <v>12</v>
      </c>
      <c r="B15" t="s">
        <v>8</v>
      </c>
      <c r="C15">
        <v>1</v>
      </c>
    </row>
    <row r="16" spans="1:3" x14ac:dyDescent="0.35">
      <c r="A16" s="1" t="s">
        <v>14</v>
      </c>
      <c r="B16" t="s">
        <v>4</v>
      </c>
      <c r="C16">
        <v>6</v>
      </c>
    </row>
    <row r="17" spans="1:3" x14ac:dyDescent="0.35">
      <c r="A17" s="1" t="s">
        <v>14</v>
      </c>
      <c r="B17" t="s">
        <v>5</v>
      </c>
      <c r="C17">
        <v>42</v>
      </c>
    </row>
    <row r="18" spans="1:3" x14ac:dyDescent="0.35">
      <c r="A18" s="1" t="s">
        <v>14</v>
      </c>
      <c r="B18" t="s">
        <v>6</v>
      </c>
      <c r="C18">
        <v>24</v>
      </c>
    </row>
    <row r="19" spans="1:3" x14ac:dyDescent="0.35">
      <c r="A19" s="1" t="s">
        <v>14</v>
      </c>
      <c r="B19" t="s">
        <v>7</v>
      </c>
      <c r="C19">
        <v>5</v>
      </c>
    </row>
    <row r="20" spans="1:3" x14ac:dyDescent="0.35">
      <c r="A20" s="1" t="s">
        <v>14</v>
      </c>
      <c r="B20" t="s">
        <v>13</v>
      </c>
      <c r="C20">
        <v>1</v>
      </c>
    </row>
    <row r="21" spans="1:3" x14ac:dyDescent="0.35">
      <c r="A21" s="1" t="s">
        <v>14</v>
      </c>
      <c r="B21" t="s">
        <v>10</v>
      </c>
      <c r="C21">
        <v>3</v>
      </c>
    </row>
    <row r="22" spans="1:3" x14ac:dyDescent="0.35">
      <c r="A22" s="1" t="s">
        <v>14</v>
      </c>
      <c r="B22" t="s">
        <v>11</v>
      </c>
      <c r="C22">
        <v>2</v>
      </c>
    </row>
    <row r="23" spans="1:3" x14ac:dyDescent="0.35">
      <c r="A23" s="1" t="s">
        <v>14</v>
      </c>
      <c r="B23" t="s">
        <v>8</v>
      </c>
      <c r="C23">
        <v>2</v>
      </c>
    </row>
    <row r="24" spans="1:3" x14ac:dyDescent="0.35">
      <c r="A24" s="1" t="s">
        <v>14</v>
      </c>
      <c r="B24" t="s">
        <v>15</v>
      </c>
      <c r="C24">
        <v>2</v>
      </c>
    </row>
    <row r="25" spans="1:3" x14ac:dyDescent="0.35">
      <c r="A25" s="1" t="s">
        <v>14</v>
      </c>
      <c r="B25" t="s">
        <v>16</v>
      </c>
      <c r="C25">
        <v>1</v>
      </c>
    </row>
    <row r="26" spans="1:3" x14ac:dyDescent="0.35">
      <c r="A26" s="1" t="s">
        <v>17</v>
      </c>
      <c r="B26" t="s">
        <v>5</v>
      </c>
      <c r="C26">
        <v>6</v>
      </c>
    </row>
    <row r="27" spans="1:3" x14ac:dyDescent="0.35">
      <c r="A27" s="1" t="s">
        <v>17</v>
      </c>
      <c r="B27" t="s">
        <v>6</v>
      </c>
      <c r="C27">
        <v>2</v>
      </c>
    </row>
    <row r="28" spans="1:3" x14ac:dyDescent="0.35">
      <c r="A28" s="1" t="s">
        <v>18</v>
      </c>
      <c r="B28" t="s">
        <v>5</v>
      </c>
      <c r="C28">
        <v>16</v>
      </c>
    </row>
    <row r="29" spans="1:3" x14ac:dyDescent="0.35">
      <c r="A29" s="1" t="s">
        <v>18</v>
      </c>
      <c r="B29" t="s">
        <v>6</v>
      </c>
      <c r="C29">
        <v>11</v>
      </c>
    </row>
    <row r="30" spans="1:3" x14ac:dyDescent="0.35">
      <c r="A30" s="1" t="s">
        <v>18</v>
      </c>
      <c r="B30" t="s">
        <v>10</v>
      </c>
      <c r="C30">
        <v>1</v>
      </c>
    </row>
    <row r="31" spans="1:3" x14ac:dyDescent="0.35">
      <c r="A31" s="1" t="s">
        <v>18</v>
      </c>
      <c r="B31" t="s">
        <v>8</v>
      </c>
      <c r="C31">
        <v>1</v>
      </c>
    </row>
    <row r="32" spans="1:3" x14ac:dyDescent="0.35">
      <c r="A32" s="1" t="s">
        <v>18</v>
      </c>
      <c r="B32" t="s">
        <v>15</v>
      </c>
      <c r="C32">
        <v>1</v>
      </c>
    </row>
    <row r="33" spans="1:3" x14ac:dyDescent="0.35">
      <c r="A33" s="1" t="s">
        <v>19</v>
      </c>
      <c r="B33" t="s">
        <v>4</v>
      </c>
      <c r="C33">
        <v>2</v>
      </c>
    </row>
    <row r="34" spans="1:3" x14ac:dyDescent="0.35">
      <c r="A34" s="1" t="s">
        <v>19</v>
      </c>
      <c r="B34" t="s">
        <v>5</v>
      </c>
      <c r="C34">
        <v>40</v>
      </c>
    </row>
    <row r="35" spans="1:3" x14ac:dyDescent="0.35">
      <c r="A35" s="1" t="s">
        <v>19</v>
      </c>
      <c r="B35" t="s">
        <v>6</v>
      </c>
      <c r="C35">
        <v>36</v>
      </c>
    </row>
    <row r="36" spans="1:3" x14ac:dyDescent="0.35">
      <c r="A36" s="1" t="s">
        <v>19</v>
      </c>
      <c r="B36" t="s">
        <v>7</v>
      </c>
      <c r="C36">
        <v>1</v>
      </c>
    </row>
    <row r="37" spans="1:3" x14ac:dyDescent="0.35">
      <c r="A37" s="1" t="s">
        <v>19</v>
      </c>
      <c r="B37" t="s">
        <v>13</v>
      </c>
      <c r="C37">
        <v>4</v>
      </c>
    </row>
    <row r="38" spans="1:3" x14ac:dyDescent="0.35">
      <c r="A38" s="1" t="s">
        <v>19</v>
      </c>
      <c r="B38" t="s">
        <v>10</v>
      </c>
      <c r="C38">
        <v>2</v>
      </c>
    </row>
    <row r="39" spans="1:3" x14ac:dyDescent="0.35">
      <c r="A39" s="1" t="s">
        <v>19</v>
      </c>
      <c r="B39" t="s">
        <v>11</v>
      </c>
      <c r="C39">
        <v>2</v>
      </c>
    </row>
    <row r="40" spans="1:3" x14ac:dyDescent="0.35">
      <c r="A40" s="1" t="s">
        <v>19</v>
      </c>
      <c r="B40" t="s">
        <v>8</v>
      </c>
      <c r="C40">
        <v>3</v>
      </c>
    </row>
    <row r="41" spans="1:3" x14ac:dyDescent="0.35">
      <c r="A41" s="1" t="s">
        <v>19</v>
      </c>
      <c r="B41" t="s">
        <v>15</v>
      </c>
      <c r="C41">
        <v>1</v>
      </c>
    </row>
    <row r="42" spans="1:3" x14ac:dyDescent="0.35">
      <c r="A42" s="1" t="s">
        <v>19</v>
      </c>
      <c r="B42" t="s">
        <v>16</v>
      </c>
      <c r="C42">
        <v>4</v>
      </c>
    </row>
    <row r="43" spans="1:3" x14ac:dyDescent="0.35">
      <c r="A43" s="1" t="s">
        <v>20</v>
      </c>
      <c r="B43" t="s">
        <v>4</v>
      </c>
      <c r="C43">
        <v>4</v>
      </c>
    </row>
    <row r="44" spans="1:3" x14ac:dyDescent="0.35">
      <c r="A44" s="1" t="s">
        <v>20</v>
      </c>
      <c r="B44" t="s">
        <v>5</v>
      </c>
      <c r="C44">
        <v>19</v>
      </c>
    </row>
    <row r="45" spans="1:3" x14ac:dyDescent="0.35">
      <c r="A45" s="1" t="s">
        <v>20</v>
      </c>
      <c r="B45" t="s">
        <v>6</v>
      </c>
      <c r="C45">
        <v>12</v>
      </c>
    </row>
    <row r="46" spans="1:3" x14ac:dyDescent="0.35">
      <c r="A46" s="1" t="s">
        <v>20</v>
      </c>
      <c r="B46" t="s">
        <v>13</v>
      </c>
      <c r="C46">
        <v>1</v>
      </c>
    </row>
    <row r="47" spans="1:3" x14ac:dyDescent="0.35">
      <c r="A47" s="1" t="s">
        <v>20</v>
      </c>
      <c r="B47" t="s">
        <v>16</v>
      </c>
      <c r="C47">
        <v>1</v>
      </c>
    </row>
    <row r="48" spans="1:3" x14ac:dyDescent="0.35">
      <c r="A48" s="1" t="s">
        <v>21</v>
      </c>
      <c r="B48" t="s">
        <v>5</v>
      </c>
      <c r="C48">
        <v>1</v>
      </c>
    </row>
    <row r="49" spans="1:3" x14ac:dyDescent="0.35">
      <c r="A49" s="1" t="s">
        <v>21</v>
      </c>
      <c r="B49" t="s">
        <v>11</v>
      </c>
      <c r="C49">
        <v>1</v>
      </c>
    </row>
    <row r="50" spans="1:3" x14ac:dyDescent="0.35">
      <c r="A50" s="1" t="s">
        <v>22</v>
      </c>
      <c r="B50" t="s">
        <v>4</v>
      </c>
      <c r="C50">
        <v>4</v>
      </c>
    </row>
    <row r="51" spans="1:3" x14ac:dyDescent="0.35">
      <c r="A51" s="1" t="s">
        <v>22</v>
      </c>
      <c r="B51" t="s">
        <v>5</v>
      </c>
      <c r="C51">
        <v>56</v>
      </c>
    </row>
    <row r="52" spans="1:3" x14ac:dyDescent="0.35">
      <c r="A52" s="1" t="s">
        <v>22</v>
      </c>
      <c r="B52" t="s">
        <v>6</v>
      </c>
      <c r="C52">
        <v>29</v>
      </c>
    </row>
    <row r="53" spans="1:3" x14ac:dyDescent="0.35">
      <c r="A53" s="1" t="s">
        <v>22</v>
      </c>
      <c r="B53" t="s">
        <v>7</v>
      </c>
      <c r="C53">
        <v>2</v>
      </c>
    </row>
    <row r="54" spans="1:3" x14ac:dyDescent="0.35">
      <c r="A54" s="1" t="s">
        <v>22</v>
      </c>
      <c r="B54" t="s">
        <v>13</v>
      </c>
      <c r="C54">
        <v>5</v>
      </c>
    </row>
    <row r="55" spans="1:3" x14ac:dyDescent="0.35">
      <c r="A55" s="1" t="s">
        <v>22</v>
      </c>
      <c r="B55" t="s">
        <v>10</v>
      </c>
      <c r="C55">
        <v>3</v>
      </c>
    </row>
    <row r="56" spans="1:3" x14ac:dyDescent="0.35">
      <c r="A56" s="1" t="s">
        <v>22</v>
      </c>
      <c r="B56" t="s">
        <v>15</v>
      </c>
      <c r="C56">
        <v>2</v>
      </c>
    </row>
    <row r="57" spans="1:3" x14ac:dyDescent="0.35">
      <c r="A57" s="1" t="s">
        <v>22</v>
      </c>
      <c r="B57" t="s">
        <v>16</v>
      </c>
      <c r="C57">
        <v>1</v>
      </c>
    </row>
    <row r="58" spans="1:3" x14ac:dyDescent="0.35">
      <c r="A58" s="1" t="s">
        <v>23</v>
      </c>
      <c r="B58" t="s">
        <v>5</v>
      </c>
      <c r="C58">
        <v>18</v>
      </c>
    </row>
    <row r="59" spans="1:3" x14ac:dyDescent="0.35">
      <c r="A59" s="1" t="s">
        <v>23</v>
      </c>
      <c r="B59" t="s">
        <v>6</v>
      </c>
      <c r="C59">
        <v>7</v>
      </c>
    </row>
    <row r="60" spans="1:3" x14ac:dyDescent="0.35">
      <c r="A60" s="1" t="s">
        <v>23</v>
      </c>
      <c r="B60" t="s">
        <v>10</v>
      </c>
      <c r="C60">
        <v>1</v>
      </c>
    </row>
    <row r="61" spans="1:3" x14ac:dyDescent="0.35">
      <c r="A61" s="1" t="s">
        <v>23</v>
      </c>
      <c r="B61" t="s">
        <v>11</v>
      </c>
      <c r="C61">
        <v>3</v>
      </c>
    </row>
    <row r="62" spans="1:3" x14ac:dyDescent="0.35">
      <c r="A62" s="1" t="s">
        <v>23</v>
      </c>
      <c r="B62" t="s">
        <v>8</v>
      </c>
      <c r="C62">
        <v>4</v>
      </c>
    </row>
    <row r="63" spans="1:3" x14ac:dyDescent="0.35">
      <c r="A63" s="1" t="s">
        <v>23</v>
      </c>
      <c r="B63" t="s">
        <v>15</v>
      </c>
      <c r="C63">
        <v>2</v>
      </c>
    </row>
    <row r="64" spans="1:3" x14ac:dyDescent="0.35">
      <c r="A64" s="1" t="s">
        <v>23</v>
      </c>
      <c r="B64" t="s">
        <v>16</v>
      </c>
      <c r="C64">
        <v>3</v>
      </c>
    </row>
    <row r="65" spans="1:3" x14ac:dyDescent="0.35">
      <c r="A65" s="1" t="s">
        <v>24</v>
      </c>
      <c r="B65" t="s">
        <v>5</v>
      </c>
      <c r="C65">
        <v>15</v>
      </c>
    </row>
    <row r="66" spans="1:3" x14ac:dyDescent="0.35">
      <c r="A66" s="1" t="s">
        <v>24</v>
      </c>
      <c r="B66" t="s">
        <v>6</v>
      </c>
      <c r="C66">
        <v>8</v>
      </c>
    </row>
    <row r="67" spans="1:3" x14ac:dyDescent="0.35">
      <c r="A67" s="1" t="s">
        <v>24</v>
      </c>
      <c r="B67" t="s">
        <v>7</v>
      </c>
      <c r="C67">
        <v>1</v>
      </c>
    </row>
    <row r="68" spans="1:3" x14ac:dyDescent="0.35">
      <c r="A68" s="1" t="s">
        <v>24</v>
      </c>
      <c r="B68" t="s">
        <v>13</v>
      </c>
      <c r="C68">
        <v>3</v>
      </c>
    </row>
    <row r="69" spans="1:3" x14ac:dyDescent="0.35">
      <c r="A69" s="1" t="s">
        <v>24</v>
      </c>
      <c r="B69" t="s">
        <v>16</v>
      </c>
      <c r="C69">
        <v>1</v>
      </c>
    </row>
    <row r="70" spans="1:3" x14ac:dyDescent="0.35">
      <c r="A70" s="1" t="s">
        <v>25</v>
      </c>
      <c r="B70" t="s">
        <v>5</v>
      </c>
      <c r="C70">
        <v>13</v>
      </c>
    </row>
    <row r="71" spans="1:3" x14ac:dyDescent="0.35">
      <c r="A71" s="1" t="s">
        <v>25</v>
      </c>
      <c r="B71" t="s">
        <v>6</v>
      </c>
      <c r="C71">
        <v>3</v>
      </c>
    </row>
    <row r="72" spans="1:3" x14ac:dyDescent="0.35">
      <c r="A72" s="1" t="s">
        <v>25</v>
      </c>
      <c r="B72" t="s">
        <v>13</v>
      </c>
      <c r="C72">
        <v>3</v>
      </c>
    </row>
    <row r="73" spans="1:3" x14ac:dyDescent="0.35">
      <c r="A73" s="1" t="s">
        <v>25</v>
      </c>
      <c r="B73" t="s">
        <v>10</v>
      </c>
      <c r="C73">
        <v>1</v>
      </c>
    </row>
    <row r="74" spans="1:3" x14ac:dyDescent="0.35">
      <c r="A74" s="1" t="s">
        <v>25</v>
      </c>
      <c r="B74" t="s">
        <v>8</v>
      </c>
      <c r="C74">
        <v>2</v>
      </c>
    </row>
    <row r="75" spans="1:3" x14ac:dyDescent="0.35">
      <c r="A75" s="1" t="s">
        <v>25</v>
      </c>
      <c r="B75" t="s">
        <v>15</v>
      </c>
      <c r="C75">
        <v>2</v>
      </c>
    </row>
    <row r="76" spans="1:3" x14ac:dyDescent="0.35">
      <c r="A76" s="1" t="s">
        <v>25</v>
      </c>
      <c r="B76" t="s">
        <v>16</v>
      </c>
      <c r="C76">
        <v>1</v>
      </c>
    </row>
    <row r="77" spans="1:3" x14ac:dyDescent="0.35">
      <c r="A77" s="1" t="s">
        <v>26</v>
      </c>
      <c r="B77" t="s">
        <v>4</v>
      </c>
      <c r="C77">
        <v>1</v>
      </c>
    </row>
    <row r="78" spans="1:3" x14ac:dyDescent="0.35">
      <c r="A78" s="1" t="s">
        <v>26</v>
      </c>
      <c r="B78" t="s">
        <v>5</v>
      </c>
      <c r="C78">
        <v>12</v>
      </c>
    </row>
    <row r="79" spans="1:3" x14ac:dyDescent="0.35">
      <c r="A79" s="1" t="s">
        <v>26</v>
      </c>
      <c r="B79" t="s">
        <v>6</v>
      </c>
      <c r="C79">
        <v>3</v>
      </c>
    </row>
    <row r="80" spans="1:3" x14ac:dyDescent="0.35">
      <c r="A80" s="1" t="s">
        <v>26</v>
      </c>
      <c r="B80" t="s">
        <v>11</v>
      </c>
      <c r="C80">
        <v>1</v>
      </c>
    </row>
    <row r="81" spans="1:3" x14ac:dyDescent="0.35">
      <c r="A81" s="1" t="s">
        <v>26</v>
      </c>
      <c r="B81" t="s">
        <v>8</v>
      </c>
      <c r="C81">
        <v>3</v>
      </c>
    </row>
    <row r="82" spans="1:3" x14ac:dyDescent="0.35">
      <c r="A82" s="1" t="s">
        <v>27</v>
      </c>
      <c r="B82" t="s">
        <v>5</v>
      </c>
      <c r="C82">
        <v>2</v>
      </c>
    </row>
    <row r="83" spans="1:3" x14ac:dyDescent="0.35">
      <c r="A83" s="1" t="s">
        <v>27</v>
      </c>
      <c r="B83" t="s">
        <v>6</v>
      </c>
      <c r="C83">
        <v>1</v>
      </c>
    </row>
    <row r="84" spans="1:3" x14ac:dyDescent="0.35">
      <c r="A84" s="1" t="s">
        <v>28</v>
      </c>
      <c r="B84" t="s">
        <v>5</v>
      </c>
      <c r="C84">
        <v>26</v>
      </c>
    </row>
    <row r="85" spans="1:3" x14ac:dyDescent="0.35">
      <c r="A85" s="1" t="s">
        <v>28</v>
      </c>
      <c r="B85" t="s">
        <v>6</v>
      </c>
      <c r="C85">
        <v>11</v>
      </c>
    </row>
    <row r="86" spans="1:3" x14ac:dyDescent="0.35">
      <c r="A86" s="1" t="s">
        <v>28</v>
      </c>
      <c r="B86" t="s">
        <v>7</v>
      </c>
      <c r="C86">
        <v>1</v>
      </c>
    </row>
    <row r="87" spans="1:3" x14ac:dyDescent="0.35">
      <c r="A87" s="1" t="s">
        <v>28</v>
      </c>
      <c r="B87" t="s">
        <v>13</v>
      </c>
      <c r="C87">
        <v>5</v>
      </c>
    </row>
    <row r="88" spans="1:3" x14ac:dyDescent="0.35">
      <c r="A88" s="1" t="s">
        <v>28</v>
      </c>
      <c r="B88" t="s">
        <v>10</v>
      </c>
      <c r="C88">
        <v>2</v>
      </c>
    </row>
    <row r="89" spans="1:3" x14ac:dyDescent="0.35">
      <c r="A89" s="1" t="s">
        <v>28</v>
      </c>
      <c r="B89" t="s">
        <v>11</v>
      </c>
      <c r="C89">
        <v>1</v>
      </c>
    </row>
    <row r="90" spans="1:3" x14ac:dyDescent="0.35">
      <c r="A90" s="1" t="s">
        <v>28</v>
      </c>
      <c r="B90" t="s">
        <v>8</v>
      </c>
      <c r="C90">
        <v>3</v>
      </c>
    </row>
    <row r="91" spans="1:3" x14ac:dyDescent="0.35">
      <c r="A91" s="1" t="s">
        <v>28</v>
      </c>
      <c r="B91" t="s">
        <v>15</v>
      </c>
      <c r="C91">
        <v>1</v>
      </c>
    </row>
    <row r="92" spans="1:3" x14ac:dyDescent="0.35">
      <c r="A92" s="1" t="s">
        <v>28</v>
      </c>
      <c r="B92" t="s">
        <v>16</v>
      </c>
      <c r="C92">
        <v>3</v>
      </c>
    </row>
    <row r="93" spans="1:3" x14ac:dyDescent="0.35">
      <c r="A93" s="1" t="s">
        <v>29</v>
      </c>
      <c r="B93" t="s">
        <v>5</v>
      </c>
      <c r="C93">
        <v>5</v>
      </c>
    </row>
    <row r="94" spans="1:3" x14ac:dyDescent="0.35">
      <c r="A94" s="1" t="s">
        <v>29</v>
      </c>
      <c r="B94" t="s">
        <v>6</v>
      </c>
      <c r="C94">
        <v>1</v>
      </c>
    </row>
    <row r="95" spans="1:3" x14ac:dyDescent="0.35">
      <c r="A95" s="1" t="s">
        <v>29</v>
      </c>
      <c r="B95" t="s">
        <v>16</v>
      </c>
      <c r="C95">
        <v>1</v>
      </c>
    </row>
    <row r="96" spans="1:3" x14ac:dyDescent="0.35">
      <c r="A96" s="1" t="s">
        <v>30</v>
      </c>
      <c r="B96" t="s">
        <v>4</v>
      </c>
      <c r="C96">
        <v>1</v>
      </c>
    </row>
    <row r="97" spans="1:3" x14ac:dyDescent="0.35">
      <c r="A97" s="1" t="s">
        <v>30</v>
      </c>
      <c r="B97" t="s">
        <v>5</v>
      </c>
      <c r="C97">
        <v>7</v>
      </c>
    </row>
    <row r="98" spans="1:3" x14ac:dyDescent="0.35">
      <c r="A98" s="1" t="s">
        <v>30</v>
      </c>
      <c r="B98" t="s">
        <v>6</v>
      </c>
      <c r="C98">
        <v>1</v>
      </c>
    </row>
    <row r="99" spans="1:3" x14ac:dyDescent="0.35">
      <c r="A99" s="1" t="s">
        <v>30</v>
      </c>
      <c r="B99" t="s">
        <v>13</v>
      </c>
      <c r="C99">
        <v>1</v>
      </c>
    </row>
    <row r="100" spans="1:3" x14ac:dyDescent="0.35">
      <c r="A100" s="1" t="s">
        <v>30</v>
      </c>
      <c r="B100" t="s">
        <v>15</v>
      </c>
      <c r="C100">
        <v>1</v>
      </c>
    </row>
    <row r="101" spans="1:3" x14ac:dyDescent="0.35">
      <c r="A101" s="1" t="s">
        <v>31</v>
      </c>
      <c r="B101" t="s">
        <v>5</v>
      </c>
      <c r="C101">
        <v>5</v>
      </c>
    </row>
    <row r="102" spans="1:3" x14ac:dyDescent="0.35">
      <c r="A102" s="1" t="s">
        <v>31</v>
      </c>
      <c r="B102" t="s">
        <v>6</v>
      </c>
      <c r="C102">
        <v>1</v>
      </c>
    </row>
    <row r="103" spans="1:3" x14ac:dyDescent="0.35">
      <c r="A103" s="1" t="s">
        <v>32</v>
      </c>
      <c r="B103" t="s">
        <v>4</v>
      </c>
      <c r="C103">
        <v>2</v>
      </c>
    </row>
    <row r="104" spans="1:3" x14ac:dyDescent="0.35">
      <c r="A104" s="1" t="s">
        <v>32</v>
      </c>
      <c r="B104" t="s">
        <v>5</v>
      </c>
      <c r="C104">
        <v>9</v>
      </c>
    </row>
    <row r="105" spans="1:3" x14ac:dyDescent="0.35">
      <c r="A105" s="1" t="s">
        <v>32</v>
      </c>
      <c r="B105" t="s">
        <v>6</v>
      </c>
      <c r="C105">
        <v>7</v>
      </c>
    </row>
    <row r="106" spans="1:3" x14ac:dyDescent="0.35">
      <c r="A106" s="1" t="s">
        <v>32</v>
      </c>
      <c r="B106" t="s">
        <v>13</v>
      </c>
      <c r="C106">
        <v>1</v>
      </c>
    </row>
    <row r="107" spans="1:3" x14ac:dyDescent="0.35">
      <c r="A107" s="1" t="s">
        <v>32</v>
      </c>
      <c r="B107" t="s">
        <v>10</v>
      </c>
      <c r="C107">
        <v>2</v>
      </c>
    </row>
    <row r="108" spans="1:3" x14ac:dyDescent="0.35">
      <c r="A108" s="1" t="s">
        <v>33</v>
      </c>
      <c r="B108" t="s">
        <v>5</v>
      </c>
      <c r="C108">
        <v>1</v>
      </c>
    </row>
    <row r="109" spans="1:3" x14ac:dyDescent="0.35">
      <c r="A109" s="1" t="s">
        <v>33</v>
      </c>
      <c r="B109" t="s">
        <v>6</v>
      </c>
      <c r="C109">
        <v>1</v>
      </c>
    </row>
    <row r="110" spans="1:3" x14ac:dyDescent="0.35">
      <c r="A110" s="1" t="s">
        <v>33</v>
      </c>
      <c r="B110" t="s">
        <v>16</v>
      </c>
      <c r="C110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11B24-BD1E-4D46-AF8A-4B87E65777A7}">
  <dimension ref="A1"/>
  <sheetViews>
    <sheetView workbookViewId="0"/>
  </sheetViews>
  <sheetFormatPr defaultRowHeight="15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3D8621-303C-4E3F-9006-BF25F88EAD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VB_2026</vt:lpstr>
      <vt:lpstr>January 2026 Run 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Keisha Bolaji</dc:creator>
  <cp:lastModifiedBy>Keisha Bolaji</cp:lastModifiedBy>
  <dcterms:created xsi:type="dcterms:W3CDTF">2026-01-23T16:06:50Z</dcterms:created>
  <dcterms:modified xsi:type="dcterms:W3CDTF">2026-01-23T19:19:37Z</dcterms:modified>
</cp:coreProperties>
</file>